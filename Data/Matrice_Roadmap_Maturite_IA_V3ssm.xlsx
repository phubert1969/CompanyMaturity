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ThisWorkbook" defaultThemeVersion="202300"/>
  <mc:AlternateContent xmlns:mc="http://schemas.openxmlformats.org/markup-compatibility/2006">
    <mc:Choice Requires="x15">
      <x15ac:absPath xmlns:x15ac="http://schemas.microsoft.com/office/spreadsheetml/2010/11/ac" url="/Users/pascal/Documents/Workspace/CompanyMaturity/Data/"/>
    </mc:Choice>
  </mc:AlternateContent>
  <xr:revisionPtr revIDLastSave="0" documentId="13_ncr:1_{8D678E1B-FA73-0D4C-BF8A-B1BE09A7E376}" xr6:coauthVersionLast="47" xr6:coauthVersionMax="47" xr10:uidLastSave="{00000000-0000-0000-0000-000000000000}"/>
  <bookViews>
    <workbookView xWindow="0" yWindow="600" windowWidth="26280" windowHeight="13460" activeTab="3" xr2:uid="{00000000-000D-0000-FFFF-FFFF00000000}"/>
  </bookViews>
  <sheets>
    <sheet name="NiveauMaturité" sheetId="23" r:id="rId1"/>
    <sheet name="IndexQuestions" sheetId="1" r:id="rId2"/>
    <sheet name="Questions" sheetId="2" r:id="rId3"/>
    <sheet name="Réponses" sheetId="3" r:id="rId4"/>
    <sheet name="CalculAxes" sheetId="4" r:id="rId5"/>
    <sheet name="TMatrice" sheetId="5" r:id="rId6"/>
    <sheet name="_tmp_export" sheetId="24" state="veryHidden" r:id="rId7"/>
    <sheet name="_tmp_export_103005" sheetId="33" state="veryHidden" r:id="rId8"/>
    <sheet name="_tmp_export_103300" sheetId="34" state="veryHidden" r:id="rId9"/>
    <sheet name="_tmp_export_103654" sheetId="35" state="veryHidden" r:id="rId10"/>
    <sheet name="_tmp_export_104038" sheetId="36" state="veryHidden" r:id="rId11"/>
    <sheet name="_tmp_export_162014" sheetId="37" state="veryHidden" r:id="rId12"/>
    <sheet name="_tmp_export_162057" sheetId="38" state="veryHidden" r:id="rId13"/>
    <sheet name="_tmp_export_162352" sheetId="39" state="veryHidden" r:id="rId14"/>
    <sheet name="_tmp_export_164730" sheetId="40" state="veryHidden" r:id="rId15"/>
    <sheet name="_tmp_export_164906" sheetId="41" state="veryHidden" r:id="rId16"/>
    <sheet name="MatriceEntreprise" sheetId="6" r:id="rId17"/>
    <sheet name="Q01" sheetId="7" r:id="rId18"/>
    <sheet name="Q02" sheetId="8" r:id="rId19"/>
    <sheet name="Q03" sheetId="9" r:id="rId20"/>
    <sheet name="Q04" sheetId="10" r:id="rId21"/>
    <sheet name="Q05" sheetId="11" r:id="rId22"/>
    <sheet name="Q06" sheetId="12" r:id="rId23"/>
    <sheet name="Q07" sheetId="13" r:id="rId24"/>
    <sheet name="Q08" sheetId="14" r:id="rId25"/>
    <sheet name="Q09" sheetId="15" r:id="rId26"/>
    <sheet name="Q10" sheetId="16" r:id="rId27"/>
    <sheet name="Q11" sheetId="17" r:id="rId28"/>
    <sheet name="Q12" sheetId="18" r:id="rId29"/>
    <sheet name="Q13" sheetId="19" r:id="rId30"/>
    <sheet name="Q14" sheetId="20" r:id="rId31"/>
    <sheet name="Q15" sheetId="21" r:id="rId3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4" l="1"/>
  <c r="B29" i="4"/>
  <c r="C29" i="4"/>
  <c r="D29" i="4"/>
  <c r="E29" i="4"/>
  <c r="F29" i="4"/>
  <c r="J3" i="4"/>
  <c r="J4" i="4"/>
  <c r="J5" i="4"/>
  <c r="J6" i="4"/>
  <c r="J2" i="4"/>
  <c r="A6" i="4"/>
  <c r="B6" i="4"/>
  <c r="C6" i="4"/>
  <c r="D6" i="4"/>
  <c r="H6" i="4" s="1"/>
  <c r="E6" i="4"/>
  <c r="F6" i="4"/>
  <c r="G6" i="4"/>
  <c r="I6" i="4"/>
  <c r="H2" i="6"/>
  <c r="B3" i="10"/>
  <c r="B3" i="11"/>
  <c r="B3" i="12"/>
  <c r="B3" i="13"/>
  <c r="B3" i="14"/>
  <c r="B3" i="15"/>
  <c r="B3" i="16"/>
  <c r="B3" i="17"/>
  <c r="B3" i="18"/>
  <c r="B3" i="19"/>
  <c r="B3" i="20"/>
  <c r="B3" i="21"/>
  <c r="B3" i="9"/>
  <c r="B3" i="8"/>
  <c r="BS6" i="5"/>
  <c r="BR6" i="5"/>
  <c r="BQ6" i="5"/>
  <c r="BS5" i="5"/>
  <c r="BR5" i="5"/>
  <c r="BQ5" i="5"/>
  <c r="BS4" i="5"/>
  <c r="BR4" i="5"/>
  <c r="BQ4" i="5"/>
  <c r="BS3" i="5"/>
  <c r="BR3" i="5"/>
  <c r="BQ3" i="5"/>
  <c r="BS2" i="5"/>
  <c r="BR2" i="5"/>
  <c r="BQ2" i="5"/>
  <c r="BH6" i="5"/>
  <c r="BG6" i="5"/>
  <c r="BF6" i="5"/>
  <c r="BH5" i="5"/>
  <c r="BG5" i="5"/>
  <c r="BF5" i="5"/>
  <c r="BH4" i="5"/>
  <c r="BG4" i="5"/>
  <c r="BF4" i="5"/>
  <c r="BH3" i="5"/>
  <c r="BG3" i="5"/>
  <c r="BF3" i="5"/>
  <c r="BH2" i="5"/>
  <c r="BG2" i="5"/>
  <c r="BF2" i="5"/>
  <c r="AW6" i="5"/>
  <c r="AV6" i="5"/>
  <c r="AU6" i="5"/>
  <c r="AW5" i="5"/>
  <c r="AV5" i="5"/>
  <c r="AU5" i="5"/>
  <c r="AW4" i="5"/>
  <c r="AV4" i="5"/>
  <c r="AU4" i="5"/>
  <c r="AW3" i="5"/>
  <c r="AV3" i="5"/>
  <c r="AU3" i="5"/>
  <c r="AW2" i="5"/>
  <c r="AV2" i="5"/>
  <c r="AU2" i="5"/>
  <c r="AL6" i="5"/>
  <c r="AK6" i="5"/>
  <c r="AJ6" i="5"/>
  <c r="AL5" i="5"/>
  <c r="AK5" i="5"/>
  <c r="AJ5" i="5"/>
  <c r="AL4" i="5"/>
  <c r="AK4" i="5"/>
  <c r="AJ4" i="5"/>
  <c r="AL3" i="5"/>
  <c r="AK3" i="5"/>
  <c r="AJ3" i="5"/>
  <c r="AL2" i="5"/>
  <c r="AK2" i="5"/>
  <c r="AJ2" i="5"/>
  <c r="A2" i="21" a="1"/>
  <c r="A2" i="21" s="1"/>
  <c r="A2" i="20" a="1"/>
  <c r="A2" i="20" s="1"/>
  <c r="A2" i="19" a="1"/>
  <c r="A2" i="19" s="1"/>
  <c r="A2" i="18" a="1"/>
  <c r="A2" i="18" s="1"/>
  <c r="A2" i="17" a="1"/>
  <c r="A2" i="17" s="1"/>
  <c r="A2" i="16" a="1"/>
  <c r="A2" i="16" s="1"/>
  <c r="A2" i="15" a="1"/>
  <c r="A2" i="15" s="1"/>
  <c r="A2" i="14" a="1"/>
  <c r="A2" i="14" s="1"/>
  <c r="A2" i="13" a="1"/>
  <c r="A2" i="13" s="1"/>
  <c r="A2" i="12" a="1"/>
  <c r="A2" i="12" s="1"/>
  <c r="A2" i="11" a="1"/>
  <c r="A2" i="11" s="1"/>
  <c r="A2" i="10" a="1"/>
  <c r="A2" i="10" s="1"/>
  <c r="A2" i="9" a="1"/>
  <c r="A2" i="9" s="1"/>
  <c r="A2" i="8" a="1"/>
  <c r="A2" i="8" s="1"/>
  <c r="D30" i="5"/>
  <c r="C30" i="5"/>
  <c r="B30" i="5"/>
  <c r="D29" i="5"/>
  <c r="C29" i="5"/>
  <c r="B29" i="5"/>
  <c r="D28" i="5"/>
  <c r="C28" i="5"/>
  <c r="B28" i="5"/>
  <c r="D27" i="5"/>
  <c r="C27" i="5"/>
  <c r="B27" i="5"/>
  <c r="D26" i="5"/>
  <c r="C26" i="5"/>
  <c r="B26" i="5"/>
  <c r="D24" i="5"/>
  <c r="C24" i="5"/>
  <c r="B24" i="5"/>
  <c r="D23" i="5"/>
  <c r="C23" i="5"/>
  <c r="B23" i="5"/>
  <c r="D22" i="5"/>
  <c r="C22" i="5"/>
  <c r="B22" i="5"/>
  <c r="D21" i="5"/>
  <c r="C21" i="5"/>
  <c r="B21" i="5"/>
  <c r="D20" i="5"/>
  <c r="C20" i="5"/>
  <c r="B20" i="5"/>
  <c r="D18" i="5"/>
  <c r="C18" i="5"/>
  <c r="B18" i="5"/>
  <c r="D17" i="5"/>
  <c r="C17" i="5"/>
  <c r="B17" i="5"/>
  <c r="D16" i="5"/>
  <c r="C16" i="5"/>
  <c r="B16" i="5"/>
  <c r="D15" i="5"/>
  <c r="C15" i="5"/>
  <c r="B15" i="5"/>
  <c r="D14" i="5"/>
  <c r="C14" i="5"/>
  <c r="B14" i="5"/>
  <c r="D12" i="5"/>
  <c r="C12" i="5"/>
  <c r="B12" i="5"/>
  <c r="D11" i="5"/>
  <c r="C11" i="5"/>
  <c r="B11" i="5"/>
  <c r="D10" i="5"/>
  <c r="C10" i="5"/>
  <c r="B10" i="5"/>
  <c r="D9" i="5"/>
  <c r="C9" i="5"/>
  <c r="B9" i="5"/>
  <c r="D8" i="5"/>
  <c r="C8" i="5"/>
  <c r="B8" i="5"/>
  <c r="AA6" i="5"/>
  <c r="Z6" i="5"/>
  <c r="Y6" i="5"/>
  <c r="D6" i="5"/>
  <c r="C6" i="5"/>
  <c r="B6" i="5"/>
  <c r="AA5" i="5"/>
  <c r="Z5" i="5"/>
  <c r="Y5" i="5"/>
  <c r="D5" i="5"/>
  <c r="C5" i="5"/>
  <c r="B5" i="5"/>
  <c r="AA4" i="5"/>
  <c r="Z4" i="5"/>
  <c r="Y4" i="5"/>
  <c r="D4" i="5"/>
  <c r="C4" i="5"/>
  <c r="B4" i="5"/>
  <c r="AA3" i="5"/>
  <c r="Z3" i="5"/>
  <c r="Y3" i="5"/>
  <c r="D3" i="5"/>
  <c r="C3" i="5"/>
  <c r="B3" i="5"/>
  <c r="AA2" i="5"/>
  <c r="Z2" i="5"/>
  <c r="Y2" i="5"/>
  <c r="D2" i="5"/>
  <c r="C2" i="5"/>
  <c r="B2" i="5"/>
  <c r="F28" i="4"/>
  <c r="E28" i="4"/>
  <c r="D28" i="4"/>
  <c r="C28" i="4"/>
  <c r="B28" i="4"/>
  <c r="A28" i="4"/>
  <c r="E27" i="4"/>
  <c r="D27" i="4"/>
  <c r="C27" i="4"/>
  <c r="F27" i="4" s="1"/>
  <c r="B27" i="4"/>
  <c r="A27" i="4"/>
  <c r="E26" i="4"/>
  <c r="D26" i="4"/>
  <c r="C26" i="4"/>
  <c r="F26" i="4" s="1"/>
  <c r="B26" i="4"/>
  <c r="A26" i="4"/>
  <c r="E25" i="4"/>
  <c r="D25" i="4"/>
  <c r="C25" i="4"/>
  <c r="F25" i="4" s="1"/>
  <c r="B25" i="4"/>
  <c r="A25" i="4"/>
  <c r="G5" i="4"/>
  <c r="F5" i="4"/>
  <c r="E5" i="4"/>
  <c r="D5" i="4"/>
  <c r="C5" i="4"/>
  <c r="B5" i="4"/>
  <c r="A5" i="4"/>
  <c r="G4" i="4"/>
  <c r="F4" i="4"/>
  <c r="E4" i="4"/>
  <c r="D4" i="4"/>
  <c r="C4" i="4"/>
  <c r="B4" i="4"/>
  <c r="A4" i="4"/>
  <c r="G3" i="4"/>
  <c r="F3" i="4"/>
  <c r="E3" i="4"/>
  <c r="D3" i="4"/>
  <c r="C3" i="4"/>
  <c r="B3" i="4"/>
  <c r="A3" i="4"/>
  <c r="G2" i="4"/>
  <c r="F2" i="4"/>
  <c r="E2" i="4"/>
  <c r="D2" i="4"/>
  <c r="C2" i="4"/>
  <c r="B2" i="4"/>
  <c r="A2" i="4"/>
  <c r="B2" i="2"/>
  <c r="A2" i="2"/>
  <c r="A2" i="7" a="1"/>
  <c r="A2" i="7" s="1"/>
  <c r="F4" i="6" a="1"/>
  <c r="B4" i="6" a="1"/>
  <c r="F3" i="6" a="1"/>
  <c r="D4" i="6" a="1"/>
  <c r="P3" i="6" a="1"/>
  <c r="D3" i="6" a="1"/>
  <c r="F2" i="6" a="1"/>
  <c r="B2" i="6" a="1"/>
  <c r="E4" i="6" a="1"/>
  <c r="C2" i="6" a="1"/>
  <c r="C4" i="6" a="1"/>
  <c r="O3" i="6" a="1"/>
  <c r="C3" i="6" a="1"/>
  <c r="E2" i="6" a="1"/>
  <c r="B3" i="6" a="1"/>
  <c r="D2" i="6" a="1"/>
  <c r="Q3" i="6" a="1"/>
  <c r="E3" i="6" a="1"/>
  <c r="E3" i="6" l="1"/>
  <c r="Q3" i="6"/>
  <c r="D2" i="6"/>
  <c r="B3" i="6"/>
  <c r="E2" i="6"/>
  <c r="C3" i="6"/>
  <c r="O3" i="6"/>
  <c r="C4" i="6"/>
  <c r="C2" i="6"/>
  <c r="E4" i="6"/>
  <c r="B2" i="6"/>
  <c r="F2" i="6"/>
  <c r="D3" i="6"/>
  <c r="P3" i="6"/>
  <c r="D4" i="6"/>
  <c r="F3" i="6"/>
  <c r="B4" i="6"/>
  <c r="F4" i="6"/>
  <c r="AB10" i="6" s="1" a="1"/>
  <c r="H5" i="4"/>
  <c r="I5" i="4"/>
  <c r="H4" i="4"/>
  <c r="I4" i="4"/>
  <c r="I3" i="4"/>
  <c r="H3" i="4"/>
  <c r="I2" i="4"/>
  <c r="H2" i="4"/>
  <c r="A1" i="13" a="1"/>
  <c r="L17" i="6"/>
  <c r="L13" i="6"/>
  <c r="J15" i="6"/>
  <c r="I16" i="6"/>
  <c r="H17" i="6"/>
  <c r="H13" i="6"/>
  <c r="B2" i="20" a="1"/>
  <c r="B2" i="18" a="1"/>
  <c r="B2" i="16" a="1"/>
  <c r="B2" i="12" a="1"/>
  <c r="B2" i="10" a="1"/>
  <c r="Q2" i="6" a="1"/>
  <c r="Q6" i="6" a="1"/>
  <c r="P4" i="6" a="1"/>
  <c r="A1" i="7" a="1"/>
  <c r="B2" i="13" a="1"/>
  <c r="L16" i="6"/>
  <c r="I15" i="6"/>
  <c r="A1" i="21" a="1"/>
  <c r="A1" i="19" a="1"/>
  <c r="A1" i="17" a="1"/>
  <c r="A1" i="15" a="1"/>
  <c r="A1" i="11" a="1"/>
  <c r="A1" i="9" a="1"/>
  <c r="P2" i="6" a="1"/>
  <c r="O2" i="6" a="1"/>
  <c r="O4" i="6" a="1"/>
  <c r="A1" i="14" a="1"/>
  <c r="A1" i="8" a="1"/>
  <c r="L15" i="6"/>
  <c r="I14" i="6"/>
  <c r="B2" i="21" a="1"/>
  <c r="B2" i="19" a="1"/>
  <c r="B2" i="17" a="1"/>
  <c r="B2" i="15" a="1"/>
  <c r="B2" i="11" a="1"/>
  <c r="B2" i="9" a="1"/>
  <c r="O6" i="6" a="1"/>
  <c r="O5" i="6" a="1"/>
  <c r="Q5" i="6" a="1"/>
  <c r="B2" i="14" a="1"/>
  <c r="B2" i="8" a="1"/>
  <c r="L14" i="6"/>
  <c r="J16" i="6"/>
  <c r="I17" i="6"/>
  <c r="I13" i="6"/>
  <c r="H14" i="6"/>
  <c r="A1" i="20" a="1"/>
  <c r="A1" i="18" a="1"/>
  <c r="A1" i="16" a="1"/>
  <c r="A1" i="12" a="1"/>
  <c r="A1" i="10" a="1"/>
  <c r="P5" i="6" a="1"/>
  <c r="P6" i="6" a="1"/>
  <c r="Q4" i="6" a="1"/>
  <c r="B2" i="7" a="1"/>
  <c r="H16" i="6"/>
  <c r="G2" i="6" l="1"/>
  <c r="E5" i="6"/>
  <c r="K13" i="6"/>
  <c r="K14" i="6"/>
  <c r="K17" i="6"/>
  <c r="K16" i="6"/>
  <c r="K15" i="6"/>
  <c r="S2" i="6" a="1"/>
  <c r="F5" i="6"/>
  <c r="AB8" i="6" a="1"/>
  <c r="AH8" i="6" s="1"/>
  <c r="AM8" i="6" s="1"/>
  <c r="C5" i="6"/>
  <c r="AB4" i="6" a="1"/>
  <c r="AH5" i="6" s="1"/>
  <c r="AM5" i="6" s="1"/>
  <c r="G3" i="6"/>
  <c r="AB6" i="6" a="1"/>
  <c r="D5" i="6"/>
  <c r="B2" i="7"/>
  <c r="Q4" i="6"/>
  <c r="P6" i="6"/>
  <c r="P5" i="6"/>
  <c r="A1" i="10"/>
  <c r="A1" i="12"/>
  <c r="A1" i="16"/>
  <c r="A1" i="18"/>
  <c r="A1" i="20"/>
  <c r="B2" i="8"/>
  <c r="B2" i="14"/>
  <c r="Q5" i="6"/>
  <c r="O5" i="6"/>
  <c r="O6" i="6"/>
  <c r="B2" i="9"/>
  <c r="B2" i="11"/>
  <c r="B2" i="15"/>
  <c r="B2" i="17"/>
  <c r="B2" i="19"/>
  <c r="B2" i="21"/>
  <c r="A1" i="8"/>
  <c r="A1" i="14"/>
  <c r="O4" i="6"/>
  <c r="O2" i="6"/>
  <c r="P2" i="6"/>
  <c r="A1" i="9"/>
  <c r="A1" i="11"/>
  <c r="A1" i="15"/>
  <c r="A1" i="17"/>
  <c r="A1" i="19"/>
  <c r="A1" i="21"/>
  <c r="B2" i="13"/>
  <c r="A1" i="7"/>
  <c r="P4" i="6"/>
  <c r="Q6" i="6"/>
  <c r="Q2" i="6"/>
  <c r="B2" i="10"/>
  <c r="B2" i="12"/>
  <c r="B2" i="16"/>
  <c r="B2" i="18"/>
  <c r="B2" i="20"/>
  <c r="A1" i="13"/>
  <c r="G4" i="6"/>
  <c r="B5" i="6"/>
  <c r="W2" i="6" a="1"/>
  <c r="Y2" i="6" s="1"/>
  <c r="AB2" i="6" a="1"/>
  <c r="AG3" i="6" s="1"/>
  <c r="R3" i="6"/>
  <c r="AH10" i="6"/>
  <c r="AM10" i="6" s="1"/>
  <c r="AG11" i="6"/>
  <c r="AH11" i="6"/>
  <c r="AM11" i="6" s="1"/>
  <c r="H15" i="6"/>
  <c r="J14" i="6"/>
  <c r="J17" i="6"/>
  <c r="J13" i="6"/>
  <c r="G5" i="6" l="1"/>
  <c r="S3" i="6"/>
  <c r="U2" i="6"/>
  <c r="S4" i="6"/>
  <c r="AG7" i="6"/>
  <c r="AH6" i="6"/>
  <c r="AM6" i="6" s="1"/>
  <c r="AH7" i="6"/>
  <c r="AM7" i="6" s="1"/>
  <c r="S2" i="6"/>
  <c r="U3" i="6"/>
  <c r="T2" i="6"/>
  <c r="AH9" i="6"/>
  <c r="AM9" i="6" s="1"/>
  <c r="U4" i="6"/>
  <c r="T3" i="6"/>
  <c r="AG9" i="6"/>
  <c r="T4" i="6"/>
  <c r="R4" i="6"/>
  <c r="AG5" i="6"/>
  <c r="Q7" i="6"/>
  <c r="R2" i="6"/>
  <c r="P7" i="6"/>
  <c r="R6" i="6"/>
  <c r="AH4" i="6"/>
  <c r="AM4" i="6" s="1"/>
  <c r="O7" i="6"/>
  <c r="Y4" i="6"/>
  <c r="W2" i="6"/>
  <c r="Y3" i="6"/>
  <c r="X2" i="6"/>
  <c r="AH3" i="6"/>
  <c r="AM3" i="6" s="1"/>
  <c r="X3" i="6"/>
  <c r="AH2" i="6"/>
  <c r="AM2" i="6" s="1"/>
  <c r="X4" i="6"/>
  <c r="W3" i="6"/>
  <c r="R5" i="6"/>
  <c r="W4" i="6"/>
  <c r="H21" i="6" l="1"/>
  <c r="K3" i="6"/>
  <c r="I28" i="6" s="1" a="1"/>
  <c r="H20" i="6"/>
  <c r="H27" i="6"/>
  <c r="H23" i="6"/>
  <c r="I3" i="6"/>
  <c r="I20" i="6" s="1" a="1"/>
  <c r="H29" i="6"/>
  <c r="H28" i="6"/>
  <c r="K2" i="6"/>
  <c r="I27" i="6" s="1" a="1"/>
  <c r="J3" i="6"/>
  <c r="I24" i="6" s="1" a="1"/>
  <c r="H25" i="6"/>
  <c r="I4" i="6"/>
  <c r="I21" i="6" s="1" a="1"/>
  <c r="R7" i="6"/>
  <c r="AJ11" i="6" a="1"/>
  <c r="J2" i="6"/>
  <c r="I23" i="6" s="1" a="1"/>
  <c r="H19" i="6"/>
  <c r="I2" i="6"/>
  <c r="I19" i="6" s="1" a="1"/>
  <c r="K4" i="6"/>
  <c r="I29" i="6" s="1" a="1"/>
  <c r="J4" i="6"/>
  <c r="I25" i="6" s="1" a="1"/>
  <c r="AJ7" i="6" a="1"/>
  <c r="AJ5" i="6" a="1"/>
  <c r="AJ9" i="6" a="1"/>
  <c r="AJ3" i="6" a="1"/>
  <c r="H24" i="6"/>
  <c r="AG10" i="6"/>
  <c r="AJ10" i="6" s="1" a="1"/>
  <c r="AL10" i="6" s="1"/>
  <c r="AG8" i="6" l="1"/>
  <c r="AJ8" i="6" s="1" a="1"/>
  <c r="AG6" i="6" s="1"/>
  <c r="AJ6" i="6" s="1" a="1"/>
  <c r="AG4" i="6" s="1"/>
  <c r="AJ4" i="6" s="1" a="1"/>
  <c r="AG2" i="6" s="1"/>
  <c r="AJ2" i="6" s="1" a="1"/>
  <c r="I39" i="6" a="1"/>
  <c r="AK7" i="6"/>
  <c r="AL7" i="6"/>
  <c r="AO7" i="6" s="1" a="1"/>
  <c r="AO10" i="6" a="1"/>
  <c r="AK9" i="6"/>
  <c r="AL9" i="6"/>
  <c r="AO9" i="6" s="1" a="1"/>
  <c r="AL3" i="6"/>
  <c r="AO3" i="6" s="1" a="1"/>
  <c r="AK3" i="6"/>
  <c r="AK11" i="6"/>
  <c r="AL11" i="6"/>
  <c r="AO11" i="6" s="1" a="1"/>
  <c r="AK5" i="6"/>
  <c r="AL5" i="6"/>
  <c r="AO5" i="6" s="1" a="1"/>
  <c r="AK10" i="6"/>
  <c r="AL8" i="6" l="1"/>
  <c r="AL4" i="6"/>
  <c r="AL6" i="6"/>
  <c r="AK2" i="6"/>
  <c r="AL2" i="6"/>
  <c r="AK6" i="6"/>
  <c r="AK8" i="6"/>
  <c r="AK4" i="6"/>
  <c r="I35" i="6" l="1" a="1"/>
  <c r="AO6" i="6" a="1"/>
  <c r="I33" i="6" a="1"/>
  <c r="AO4" i="6" a="1"/>
  <c r="AK12" i="6"/>
  <c r="I37" i="6" a="1"/>
  <c r="AO8" i="6" a="1"/>
  <c r="I31" i="6" a="1"/>
  <c r="AO2" i="6" a="1"/>
  <c r="AO12" i="6" l="1"/>
  <c r="L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J1" authorId="0" shapeId="0" xr:uid="{3FE58199-1134-4F42-A346-31DF2A74829E}">
      <text>
        <r>
          <rPr>
            <sz val="10"/>
            <color rgb="FF000000"/>
            <rFont val="Tahoma"/>
            <family val="2"/>
          </rPr>
          <t>min existant dans le plan court terme</t>
        </r>
      </text>
    </comment>
    <comment ref="AO1" authorId="0" shapeId="0" xr:uid="{95DC7F55-F242-6D47-BA75-6D24A9007583}">
      <text>
        <r>
          <rPr>
            <sz val="10"/>
            <color rgb="FF000000"/>
            <rFont val="Tahoma"/>
            <family val="2"/>
          </rPr>
          <t xml:space="preserve">Vérification que les orientations n'existe nt 
</t>
        </r>
        <r>
          <rPr>
            <sz val="10"/>
            <color rgb="FF000000"/>
            <rFont val="Tahoma"/>
            <family val="2"/>
          </rPr>
          <t>pas dans le plan court terme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<sst xmlns="http://schemas.openxmlformats.org/spreadsheetml/2006/main" count="1455" uniqueCount="814">
  <si>
    <t>Logique</t>
  </si>
  <si>
    <t>Score</t>
  </si>
  <si>
    <t>Thème</t>
  </si>
  <si>
    <t>Réponse</t>
  </si>
  <si>
    <t>Ce qui est déjà acquis</t>
  </si>
  <si>
    <t>Ce qui bloque l’étape suivante</t>
  </si>
  <si>
    <t>Capacités à acquérir</t>
  </si>
  <si>
    <t>Actions prioritaires</t>
  </si>
  <si>
    <t>Résultats attendus</t>
  </si>
  <si>
    <t>0</t>
  </si>
  <si>
    <t>Absente</t>
  </si>
  <si>
    <t>Aucune infrastructure ou capacité spécifique permettant de développer ou déployer des solutions IA.</t>
  </si>
  <si>
    <t>Rien n'est acquis.</t>
  </si>
  <si>
    <t>L'entreprise n'a pas de moyens techniques pour permettre l'expérimentation de solutions IA.</t>
  </si>
  <si>
    <t>Acquérir la capacité à disposer d’un socle technologique permettant de développer et déployer des solutions d’IA.</t>
  </si>
  <si>
    <t>Recenser les besoins minimaux en calcul, stockage et environnements ; définir une architecture initiale et les moyens IT/cloud mobilisables.</t>
  </si>
  <si>
    <t>Une infrastructure minimale est disponible pour lancer les premiers projets IA.</t>
  </si>
  <si>
    <t>Expérimentale</t>
  </si>
  <si>
    <t>Des ressources IT/cloud existantes sont utilisées ponctuellement pour des expérimentations IA.</t>
  </si>
  <si>
    <t>L'entreprise à mis en place des ressources IT/cloud pour des expérimentations.</t>
  </si>
  <si>
    <t>L'entreprise manque d'environnements dédiés pour quelques projets sans viser une forte reproductibilité.</t>
  </si>
  <si>
    <t>Acquérir la capacité à utiliser de manière reproductible des environnements IA pour expérimenter l’IA.</t>
  </si>
  <si>
    <t>Les expérimentations IA peuvent être réalisées de façon reproductible dans des environnements partagés.</t>
  </si>
  <si>
    <t>Disponible</t>
  </si>
  <si>
    <t>L'entreprise dispose d'une infrastructure pour quelques projets.</t>
  </si>
  <si>
    <t>Le manque de structuration et de standards limite le passage à une début d'industrialisation des projets IA</t>
  </si>
  <si>
    <t>Acquérir une plateforme IA suffisamment standardisée pour soutenir différents projets.</t>
  </si>
  <si>
    <t>Définir une architecture IA cible ; standardiser les environnements de développement et de déploiement et les capacités de calcul.</t>
  </si>
  <si>
    <t>Industrialisée</t>
  </si>
  <si>
    <t>Acquérir des environnements IA dédiés avec des capacités de calcul adaptées et des processus structurés de développement et de déploiement (MLOps/LLMOps).</t>
  </si>
  <si>
    <t>Automatiser la mise à disposition des environnements ; industrialiser développement et déploiement ; renforcer sécurité et gestion des accès.</t>
  </si>
  <si>
    <t>Les projets IA peuvent être développés et déployés dans des environnements industrialisés et sécurisés.</t>
  </si>
  <si>
    <t>Optimisée</t>
  </si>
  <si>
    <t>L'infrastructure est scalable, automatisée, sécurisée et optimisée pour les performances et les coûts des workloads IA.</t>
  </si>
  <si>
    <t>L'entreprise a acquis des composants scalables, automatisés et sécurisés, permettant l'optimisation des ressources IA</t>
  </si>
  <si>
    <t>Acquérir la capacité à faire évoluer, automatiser, sécuriser et optimiser l’infrastructure IA de l'entreprise en fonction des performances et des coûts.</t>
  </si>
  <si>
    <t>Piloter performances et coûts ; automatiser le dimensionnement ; renforcer supervision, sécurité et optimisation des ressources.</t>
  </si>
  <si>
    <t>L’infrastructure IA s’adapte aux besoins avec performances maîtrisées, sécurité suivie et coûts optimisés.</t>
  </si>
  <si>
    <t>À l'échelle de l'entreprise</t>
  </si>
  <si>
    <t>Une plateforme IA gouvernée et industrialisée permet de supporter de nombreux cas d'usage, différents modèles et des déploiements à grande échelle, avec optimisation continue.</t>
  </si>
  <si>
    <t>L'entreprise gouverne sa  plateforme IA en tant qu'asset industriel et supporte de nombreux cas d'usage avec différents modèles à grande échelle.</t>
  </si>
  <si>
    <t>L'omission des enjeux de l'évolution continue des données d'entrée et des cas d'usage ne permettent pas de lever les blocages structurels liés aux performances de l'IA.</t>
  </si>
  <si>
    <t>Acquérir la capacité d'une plateforme IA gouvernée et évolutive permettant de supporter de nombreux cas d’usage et déploiements à grande échelle.</t>
  </si>
  <si>
    <t>Étendre la plateforme aux différents domaines ; standardiser les services communs ; automatiser le passage à l’échelle et l’optimisation continue.</t>
  </si>
  <si>
    <t>Une plateforme IA gouvernée supporte de nombreux cas d’usage et déploiements à grande échelle.</t>
  </si>
  <si>
    <t>MATURITE IA</t>
  </si>
  <si>
    <t>Modèle</t>
  </si>
  <si>
    <t>5 dimensions × 3 étapes : Potentiel / Stratégie / Culture / Cpompétences / Gouvernance  x Émergence / Structuration / Industrialisation. Chaque onglet transforme un score en diagnostic et actions de progression.</t>
  </si>
  <si>
    <t>Question</t>
  </si>
  <si>
    <t>Axe</t>
  </si>
  <si>
    <t>type</t>
  </si>
  <si>
    <t>Détail</t>
  </si>
  <si>
    <t>Progression</t>
  </si>
  <si>
    <t>Q01</t>
  </si>
  <si>
    <t>POTENTIEL</t>
  </si>
  <si>
    <t>Emergence</t>
  </si>
  <si>
    <t>Soutien à l'IA</t>
  </si>
  <si>
    <t>Quelles sont les infrastructures technologiques en place pour soutenir des projets d’IA ?</t>
  </si>
  <si>
    <t>Identifier → Explorer → Développer → Transformer</t>
  </si>
  <si>
    <t>Q02</t>
  </si>
  <si>
    <t>Structuration</t>
  </si>
  <si>
    <t>Data</t>
  </si>
  <si>
    <t>Dans quelle mesure l’entreprise dispose-t-elle de données accessibles, fiables et exploitables pour ses usages d’IA ?</t>
  </si>
  <si>
    <t>Q03</t>
  </si>
  <si>
    <t>Industrialisation</t>
  </si>
  <si>
    <t>Cas d'usage potentiels</t>
  </si>
  <si>
    <t>Dans quelle mesure les activités de l’entreprise présentent-elles un potentiel d’application de l’IA ?</t>
  </si>
  <si>
    <t>Q04</t>
  </si>
  <si>
    <t>STRATÉGIE</t>
  </si>
  <si>
    <t>Ambition IA</t>
  </si>
  <si>
    <t>Quel est le niveau d’ambition de l’entreprise concernant l’IA ?</t>
  </si>
  <si>
    <t>Ambition → Roadmap → Portfolio</t>
  </si>
  <si>
    <t>Q05</t>
  </si>
  <si>
    <t>Feuille de route</t>
  </si>
  <si>
    <t>Dans quelle mesure l’entreprise dispose-t-elle d’une feuille de route pour mettre en œuvre son ambition IA ?</t>
  </si>
  <si>
    <t>Q06</t>
  </si>
  <si>
    <t>Portefeuille/priorisation</t>
  </si>
  <si>
    <t>Dans quelle mesure les initiatives et cas d’usage IA sont-ils priorisés en fonction des enjeux de l’entreprise ?</t>
  </si>
  <si>
    <t>Q07</t>
  </si>
  <si>
    <t>CULTURE</t>
  </si>
  <si>
    <t>Leadership</t>
  </si>
  <si>
    <t>Dans quelle mesure les dirigeants et managers favorisent-ils l’adoption de l’IA dans l’entreprise ?</t>
  </si>
  <si>
    <t>Sensibilisation → Acceptation → Appropriation</t>
  </si>
  <si>
    <t>Q08</t>
  </si>
  <si>
    <t>Appropriation</t>
  </si>
  <si>
    <t>Dans quelle mesure les collaborateurs sont-ils prêts à adopter et utiliser l’IA dans leur activité ?</t>
  </si>
  <si>
    <t>Q09</t>
  </si>
  <si>
    <t>Apprentissage &amp; collaboration</t>
  </si>
  <si>
    <t>Dans quelle mesure l’entreprise favorise-t-elle l’apprentissage, l’expérimentation et le partage autour de l’IA ?</t>
  </si>
  <si>
    <t>Q10</t>
  </si>
  <si>
    <t>COMPÉTENCES</t>
  </si>
  <si>
    <t>Capacité interne</t>
  </si>
  <si>
    <t>Dans quelle mesure l’entreprise dispose-t-elle des compétences internes nécessaires pour concevoir, développer, déployer et exploiter des solutions d’IA ?</t>
  </si>
  <si>
    <t>Posséder → Développer → Adapter</t>
  </si>
  <si>
    <t>Q11</t>
  </si>
  <si>
    <t>Développement des compétences</t>
  </si>
  <si>
    <t>Dans quelle mesure l’entreprise développe-t-elle les compétences IA de ses collaborateurs ?</t>
  </si>
  <si>
    <t>Q12</t>
  </si>
  <si>
    <t>Adaptabilité / capacité à combler les lacunes</t>
  </si>
  <si>
    <t>Dans quelle mesure l’entreprise sait-elle identifier et combler ses lacunes en compétences IA ?</t>
  </si>
  <si>
    <t>Q13</t>
  </si>
  <si>
    <t>GOUVERNANCE</t>
  </si>
  <si>
    <t>Cadre et responsabilités</t>
  </si>
  <si>
    <t>Dans quelle mesure l’entreprise dispose-t-elle d’un cadre de gouvernance pour encadrer l’utilisation de l’IA ?</t>
  </si>
  <si>
    <t>Cadrer → Évaluer → Surveiller</t>
  </si>
  <si>
    <t>Q14</t>
  </si>
  <si>
    <t>Évaluation &amp; validation</t>
  </si>
  <si>
    <t>Dans quelle mesure les projets et usages d’IA font-ils l’objet d’une évaluation et d’une validation avant leur mise en production ?</t>
  </si>
  <si>
    <t>Q15</t>
  </si>
  <si>
    <t>Surveillance &amp; cycle de vie</t>
  </si>
  <si>
    <t>Dans quelle mesure les solutions IA déployées sont-elles surveillées et réévaluées pendant leur cycle de vie ?</t>
  </si>
  <si>
    <t>N°</t>
  </si>
  <si>
    <t>Type</t>
  </si>
  <si>
    <t>Réponses Potentielles</t>
  </si>
  <si>
    <t>Potentiel</t>
  </si>
  <si>
    <t>0- Absente : Aucune donnée pertinente identifiée.
1- Fragmentée : Données dispersées, difficilement accessibles et de qualité incertaine.
2- Disponible : Données pertinentes disponibles pour certains usages, mais encore hétérogènes ou difficiles à exploiter.
3- Exploitable : Données accessibles, structurées ou préparées et suffisamment fiables pour développer des solutions IA.
4- Industrialisée : Données gouvernées, cataloguées, contrôlées et alimentées par des pipelines permettant des usages IA reproductibles.
5- Data-ready : Environnement data industrialisé permettant d'alimenter, à grande échelle, différents usages IA avec qualité, traçabilité, automatisation et réutilisabilité.</t>
  </si>
  <si>
    <t>0- Aucun potentiel identifié : Aucun cas d'usage IA pertinent identifié.
1- Potentiel limité : Quelques opportunités ponctuelles, avec un impact potentiel limité.
2- Potentiel identifié : Plusieurs cas d'usage pertinents ont été identifiés dans certaines activités.
3- Potentiel significatif : L'IA peut améliorer significativement plusieurs processus, produits ou services.
4- Potentiel élevé : L'IA peut transformer plusieurs activités clés ou générer de nouvelles sources importantes de valeur.
5- Potentiel stratégique : L'IA est susceptible de transformer en profondeur le modèle opérationnel, les produits/services ou les sources de valeur de l'entreprise.</t>
  </si>
  <si>
    <t>Stratégie</t>
  </si>
  <si>
    <t>0- Absente : L’IA ne fait pas partie des réflexions ou ambitions de l’entreprise.
1- Exploratoire : L’entreprise commence à explorer les possibilités offertes par l’IA.
2- Expérimentation : L’entreprise affiche une volonté de développer l’IA à travers quelques initiatives ciblées.
3- Ambition définie : Des objectifs explicites concernant l’IA sont définis au niveau de l’entreprise ou de plusieurs activités.
4- Transformation : L’IA constitue un levier identifié de transformation des activités, produits, services ou opérations.
5- Ambition stratégique : L’IA est considérée comme un levier majeur d’évolution du positionnement et/ou du modèle économique de l’entreprise.</t>
  </si>
  <si>
    <t>0- Aucune feuille de route : Aucune action ou trajectoire IA définie.
1- Initiatives ponctuelles : Quelques initiatives existent sans trajectoire commune.
2- Roadmap émergente : Des initiatives sont regroupées et une première trajectoire est en cours de définition.
3- Roadmap structurée : Une feuille de route IA définit des initiatives, des échéances et des objectifs.
4- Roadmap pilotée : La feuille de route est intégrée aux plans de l’entreprise et régulièrement pilotée avec des indicateurs.
5- Transformation orchestrée : Une trajectoire pluriannuelle coordonne les initiatives IA, leur passage à l’échelle et leur évolution en fonction des résultats et des priorités de l’entreprise.</t>
  </si>
  <si>
    <t>0- Aucun cas d’usage : Aucun cas d’usage IA identifié.
1- Exploration : Quelques cas d’usage sont identifiés sans véritable priorisation.
2- Identification : Plusieurs cas d’usage sont recensés et font l’objet d’une première analyse.
3- Priorisation : Les cas d’usage sont priorisés selon des critères explicites tels que valeur, faisabilité, risques ou effort.
4- Portefeuille piloté : Les initiatives sont gérées comme un portefeuille, avec arbitrage des investissements et suivi de leur progression.
5- Optimisation continue : Le portefeuille est régulièrement réévalué en fonction de la valeur créée, des résultats obtenus, des nouvelles opportunités et de l’évolution des priorités de l’entreprise.</t>
  </si>
  <si>
    <t>Culture</t>
  </si>
  <si>
    <t>0- Absence d'implication : Les dirigeants et managers ne manifestent pas d'intérêt ou d'implication vis-à-vis de l'IA.                                             1- Sensibilisation : Le sujet est connu des dirigeants et managers, mais sans implication concrète.                                                          2- Soutien ponctuel : Certains dirigeants ou managers soutiennent des initiatives IA, principalement au niveau de projets individuels.
3- Soutien managérial : Les managers encouragent l'expérimentation et l'utilisation de l'IA dans leurs équipes.   
4- Leadership actif : Les dirigeants et managers portent activement l'adoption de l'IA et accompagnent sa diffusion dans l'entreprise.
5- Leadership exemplaire : Le leadership IA est visible dans les pratiques managériales et les dirigeants incarnent eux-mêmes l'utilisation et l'adoption de l'IA.</t>
  </si>
  <si>
    <t>0- Résistance : L'IA suscite principalement de la crainte, de la méfiance ou une résistance à son utilisation.
1- Distance : Les collaborateurs connaissent le sujet mais restent largement indifférents ou peu concernés.
2- Curiosité : Une partie des collaborateurs manifeste de l'intérêt et commence à expérimenter l'IA.
3- Acceptation : L'utilisation de l'IA est globalement acceptée et commence à entrer dans les pratiques de travail.
4- Appropriation : Les collaborateurs utilisent spontanément l'IA pour améliorer leurs activités et partagent leurs expériences.
5- Transformation des pratiques : Les collaborateurs contribuent activement à faire évoluer les usages de l'IA et intègrent celle-ci dans leurs pratiques professionnelles.</t>
  </si>
  <si>
    <t>0- Aucun dispositif : Aucun dispositif d'apprentissage, d'expérimentation ou de partage autour de l'IA.
1- Initiatives informelles : Des échanges ou expérimentations existent de manière informelle entre quelques collaborateurs.
2- Initiatives ponctuelles : Des ateliers, formations, communautés ou expérimentations sont organisés ponctuellement.
3- Dispositifs réguliers : Des dispositifs réguliers permettent aux collaborateurs d'apprendre, expérimenter et partager autour de l'IA.
4- Communautés actives : Des communautés, réseaux ou espaces de collaboration structurés favorisent la diffusion des pratiques et des retours d'expérience.
5- Apprentissage continu : L'expérimentation, le partage et l'apprentissage autour de l'IA sont intégrés durablement dans les modes de fonctionnement de l'entreprise.</t>
  </si>
  <si>
    <t>Compétences</t>
  </si>
  <si>
    <t>0- Absentes : L'entreprise ne dispose pas de compétences internes identifiées en IA.
1- Très limitées : Quelques personnes possèdent des connaissances ou compétences IA, sans capacité collective structurée.
2- Partielles : Une équipe ou plusieurs personnes disposent de compétences permettant de réaliser certains projets IA, mais des compétences importantes manquent.
3- Opérationnelles : L'entreprise dispose des principales compétences nécessaires pour développer et mettre en œuvre des projets IA.
4- Complètes : Les compétences couvrent les différentes dimensions nécessaires : data, IA/ML, ingénierie, intégration, déploiement et usages métiers.
5- Multidisciplinaires : L'entreprise dispose d'une capacité interne multidisciplinaire permettant de concevoir, industrialiser et faire évoluer des solutions IA de manière autonome.</t>
  </si>
  <si>
    <t>0- Aucun développement : Aucun dispositif de développement des compétences IA.
1- Sensibilisation : Des actions ponctuelles de sensibilisation ou d'initiation sont proposées.
2- Formation ciblée : Des formations sont proposées à certaines populations ou pour certains besoins.
3- Parcours structurés : Des parcours de développement des compétences sont définis pour différentes catégories de collaborateurs.
4- Gestion des compétences : Les compétences IA sont identifiées, évaluées et développées en fonction des rôles et des besoins de l'entreprise.
5- Développement continu : L'entreprise dispose d'un dispositif continu permettant d'anticiper les évolutions des compétences IA, d'évaluer les acquis et d'adapter régulièrement les parcours.</t>
  </si>
  <si>
    <t>0- Aucune capacité : Les besoins et lacunes en compétences IA ne sont pas identifiés et aucun recours externe n'est organisé.
1- Réponse ponctuelle : Les compétences manquantes sont traitées au cas par cas, principalement par recours à des prestataires ou experts externes.
2- Recours régulier : L'entreprise fait régulièrement appel à des compétences externes pour compléter ses capacités internes.
3- Approche structurée : Les lacunes sont identifiées et font l'objet d'une stratégie combinant recrutement, formation et recours à des partenaires externes.
4- Écosystème de compétences : L'entreprise dispose d'un réseau structuré de partenaires, experts, fournisseurs ou institutions permettant de compléter rapidement ses compétences internes.
5- Gestion dynamique des capacités : L'entreprise anticipe ses besoins en compétences et ajuste continuellement le mix entre développement interne, recrutement, mobilité et recours à l'écosystème externe.</t>
  </si>
  <si>
    <t>Gouvernance</t>
  </si>
  <si>
    <t>0- Aucun cadre : Aucun principe, règle ou responsabilité n'est défini pour l'utilisation de l'IA.
1- Principes informels : Des principes ou consignes existent, mais ils restent informels et peu diffusés.
2- Règles partielles : Des règles existent pour certains usages ou risques, mais leur couverture reste limitée.
3- Cadre formalisé : Un cadre formalisé définit les principales règles, responsabilités et conditions d'utilisation de l'IA.
4- Gouvernance structurée : Le cadre couvre notamment les risques, la sécurité, les données, la conformité, l'éthique et les responsabilités, avec des rôles clairement définis.
5- Gouvernance intégrée : La gouvernance IA est intégrée aux processus de l'entreprise et évolue régulièrement en fonction des risques, des usages, des réglementations et des pratiques de référence.</t>
  </si>
  <si>
    <t>0- Aucune évaluation : Les solutions IA peuvent être déployées sans processus d'évaluation ou de validation.
1- Évaluation ponctuelle : Certains projets font l'objet d'une évaluation informelle avant leur déploiement.
2- Évaluation partielle : Des critères d'évaluation existent pour certains projets ou certains types de risques.
3- Processus structuré : Un processus formalisé évalue les projets selon des critères définis avant leur mise en production.
4- Évaluation multidimensionnelle : L'évaluation couvre systématiquement les dimensions pertinentes : performance, sécurité, données, risques, conformité, impacts et responsabilités.
5- Décision fondée sur les risques : Le niveau d'évaluation et de validation est adapté au niveau de risque et au contexte de chaque usage IA, avec traçabilité des décisions et réévaluation lorsque nécessaire.</t>
  </si>
  <si>
    <t>0- Aucun suivi : Les solutions IA ne font pas l'objet d'un suivi après leur déploiement.
1- Suivi ponctuel : Le fonctionnement des solutions est vérifié ponctuellement, généralement en cas de problème.
2- Suivi partiel : Certaines métriques ou retours utilisateurs sont suivis, mais de manière inégale.
3- Suivi structuré : Des indicateurs sont définis et suivis régulièrement pour les solutions IA en production.
4- Suivi continu : Le suivi couvre notamment performance, qualité, sécurité, coûts, dérive des modèles et retours utilisateurs, avec des mécanismes d'alerte et d'action.
5- Gouvernance du cycle de vie : Les solutions IA sont surveillées et réévaluées sur l'ensemble de leur cycle de vie, avec des mécanismes permettant d'adapter, suspendre ou retirer une solution lorsque les conditions ou les risques évoluent.</t>
  </si>
  <si>
    <t>Id</t>
  </si>
  <si>
    <t>Entreprise</t>
  </si>
  <si>
    <t>1. Opportunités de valeur</t>
  </si>
  <si>
    <t>2. Cas d'usage potentiels</t>
  </si>
  <si>
    <t>3. Capacité à identifier les opportunités</t>
  </si>
  <si>
    <t>4. Ambition IA</t>
  </si>
  <si>
    <t>5. Feuille de route</t>
  </si>
  <si>
    <t>6. Portefeuille/priorisation</t>
  </si>
  <si>
    <t>7. Leadership</t>
  </si>
  <si>
    <t>8. Appropriation</t>
  </si>
  <si>
    <t>9. Apprentissage &amp; collaboration</t>
  </si>
  <si>
    <t>10. Capacité interne</t>
  </si>
  <si>
    <t>11. Développement des compétences</t>
  </si>
  <si>
    <t>12. Adaptabilité / capacité à combler les lacunes</t>
  </si>
  <si>
    <t>13. Cadre et responsabilités</t>
  </si>
  <si>
    <t>14. Évaluation &amp; validation</t>
  </si>
  <si>
    <t>15. Surveillance &amp; cycle de vie</t>
  </si>
  <si>
    <t>ID</t>
  </si>
  <si>
    <t>Répondant</t>
  </si>
  <si>
    <t>Moyenne</t>
  </si>
  <si>
    <t>Indice d'Équilibre</t>
  </si>
  <si>
    <t>Niveau de Maturité</t>
  </si>
  <si>
    <t>1 — Émergence</t>
  </si>
  <si>
    <t>2 — Structuration</t>
  </si>
  <si>
    <t>3 — Industrialisation</t>
  </si>
  <si>
    <t>ce qui est déjà acquis ;</t>
  </si>
  <si>
    <t>01</t>
  </si>
  <si>
    <t>02</t>
  </si>
  <si>
    <t>03</t>
  </si>
  <si>
    <t>D</t>
  </si>
  <si>
    <t>ce qui bloque l'étape suivante ;</t>
  </si>
  <si>
    <t>E</t>
  </si>
  <si>
    <t>04</t>
  </si>
  <si>
    <t>05</t>
  </si>
  <si>
    <t>06</t>
  </si>
  <si>
    <t>les capacités à construire ;</t>
  </si>
  <si>
    <t>F</t>
  </si>
  <si>
    <t>07</t>
  </si>
  <si>
    <t>08</t>
  </si>
  <si>
    <t>09</t>
  </si>
  <si>
    <t>les actions prioritaires ;</t>
  </si>
  <si>
    <t>G</t>
  </si>
  <si>
    <t>10</t>
  </si>
  <si>
    <t>11</t>
  </si>
  <si>
    <t>12</t>
  </si>
  <si>
    <t>les résultats attendus.</t>
  </si>
  <si>
    <t>H</t>
  </si>
  <si>
    <t>13</t>
  </si>
  <si>
    <t>14</t>
  </si>
  <si>
    <t>15</t>
  </si>
  <si>
    <t>La roadmap est ensuite construite en identifiant :</t>
  </si>
  <si>
    <t>moyenne</t>
  </si>
  <si>
    <t>FORCE</t>
  </si>
  <si>
    <t>POINT DE VIGILANCE</t>
  </si>
  <si>
    <t>PLAN COURT TERME</t>
  </si>
  <si>
    <t>PLAN MOYEN TERME</t>
  </si>
  <si>
    <t>Émergence</t>
  </si>
  <si>
    <t>TRI des 3 forces</t>
  </si>
  <si>
    <t>ce qui est déjà acquis</t>
  </si>
  <si>
    <t>ce qui bloque l'étape suivante</t>
  </si>
  <si>
    <t>les capacités à construire</t>
  </si>
  <si>
    <t>les actions prioritaires</t>
  </si>
  <si>
    <t>les résultats attendus</t>
  </si>
  <si>
    <t>3 forces</t>
  </si>
  <si>
    <t>3 vigilences</t>
  </si>
  <si>
    <t>Aucune donnée pertinente identifiée.</t>
  </si>
  <si>
    <t>L'entreprise n'a pas identifié les 1ères données à exploiter même si elles sont dispersées.</t>
  </si>
  <si>
    <t>Acquérir la capacité à identifier (inventaire) et rendre disponibles les données pertinentes pour les usages d’IA.</t>
  </si>
  <si>
    <t>Les données pertinentes pour les premiers usages IA sont identifiées et accessibles.</t>
  </si>
  <si>
    <t>Fragmentée</t>
  </si>
  <si>
    <t>Données dispersées, difficilement accessibles et de qualité incertaine.</t>
  </si>
  <si>
    <t>L'entreprise possède des données de qualités incertaines présentes et dispersées.</t>
  </si>
  <si>
    <t>L'entreprise n'a pas proposé de données pertinentes pour une exploitation IA.</t>
  </si>
  <si>
    <t>Acquérir la capacité à rendre les données pertinentes accessibles et à améliorer leur qualité.</t>
  </si>
  <si>
    <t>Cartographier les données dispersées ; traiter les principales incohérences ; définir des règles communes de qualité et de documentation.</t>
  </si>
  <si>
    <t>Les principales données nécessaires sont identifiées, documentées et progressivement accessibles.</t>
  </si>
  <si>
    <t>Données pertinentes disponibles pour certains usages, mais encore hétérogènes ou difficiles à exploiter.</t>
  </si>
  <si>
    <t>L'entreprise a identifié des données pertinentes mais elles sont hétérogènes et disponibles que pour certains usages et difficile à exploiter</t>
  </si>
  <si>
    <t>L'entreprise a trop de donnés hétérogènes et leur préparation à une exploitation IA est insuffisante.</t>
  </si>
  <si>
    <t>Acquérir la capacité à préparer, structurer et fiabiliser (standard) les données nécessaires aux différents usages d’IA.</t>
  </si>
  <si>
    <t>Structurer les données prioritaires ; traiter les problèmes de qualité ; préparer les données aux usages IA ciblés.</t>
  </si>
  <si>
    <t>Les données prioritaires sont suffisamment structurées et fiables pour plusieurs usages.</t>
  </si>
  <si>
    <t>Exploitable</t>
  </si>
  <si>
    <t>Données accessibles, structurées ou préparées et suffisamment fiables pour développer des solutions IA.</t>
  </si>
  <si>
    <t>L'entreprise offre des données fiables et accessibles pour développer des solutions IA à ses collaborateurs.</t>
  </si>
  <si>
    <t>La présence de données fiables et accessibles ne suffit pas à mettre en place une gouvernance data dédiée IA.</t>
  </si>
  <si>
    <t>Acquérir la capacité à fournir des données suffisamment structurées, accessibles et fiables, de manière automatisé, pour développer des solutions IA de manière reproductible.</t>
  </si>
  <si>
    <t>Industrialiser préparation et mise à disposition ; mettre en place contrôles qualité, processus reproductibles et documentation.</t>
  </si>
  <si>
    <t>Les équipes disposent de données accessibles, structurées et fiables pour développer des solutions IA de façon reproductible.</t>
  </si>
  <si>
    <t>Données gouvernées, cataloguées, contrôlées et alimentées par des pipelines permettant des usages IA reproductibles.</t>
  </si>
  <si>
    <t>L'entreprise a un processus de gouvernance de données dans un environnement industrialisé, permettant un usage IA reproductible.</t>
  </si>
  <si>
    <t>La mutualisation des processus data ne suffit pas à passer à l'échelle pour renforcer une usage des applications IA de qualité.</t>
  </si>
  <si>
    <t>Acquérir la capacité à gouverner, cataloguer, contrôler et alimenter les données nécessaires aux usages IA au moyen de plateformes automatisées et reproductibles.</t>
  </si>
  <si>
    <t>Data-ready</t>
  </si>
  <si>
    <t>Environnement data industrialisé permettant d'alimenter, à grande échelle, différents usages IA avec qualité, traçabilité, automatisation et réutilisabilité.</t>
  </si>
  <si>
    <t>Environnement data de l'entreprise est exploité à grande échelle rendant possible l'automatisation et la réutilisation de qualité.</t>
  </si>
  <si>
    <t>Même si les données sont gouvernées une adaptation continue aux technologies de l'IA nécessite de raffiner les usages pour en tirer le maximum de valeur pour l'entreprise.</t>
  </si>
  <si>
    <t>Aucun potentiel identifié</t>
  </si>
  <si>
    <t>Aucun cas d'usage IA pertinent identifié.</t>
  </si>
  <si>
    <t>Aucun cas d'usage pertinent.</t>
  </si>
  <si>
    <t>Absence d'identification de cas d'usage IA</t>
  </si>
  <si>
    <t>Acquérir la capacité à identifier les opportunités dans lesquelles l’IA pourrait présenter un cas d’usage pertinent.</t>
  </si>
  <si>
    <t>Identifier les activités et processus susceptibles de bénéficier de l’IA ; recueillir les besoins métiers et documenter les opportunités.</t>
  </si>
  <si>
    <t>Un premier ensemble de cas d’usage IA pertinents est identifié.</t>
  </si>
  <si>
    <t>Potentiel limité</t>
  </si>
  <si>
    <t>Quelques opportunités ponctuelles, avec un impact potentiel limité.</t>
  </si>
  <si>
    <t>L'entreprise a identifié quelques opportunités ponctuelles avec des impacts limités..</t>
  </si>
  <si>
    <t>Le nombre de cas d'usage est insuffisant et limite la vision du potentiel et de la valeur de l'IA.</t>
  </si>
  <si>
    <t>Acquérir la capacité d'augmenter le nombre d'opportunités d’application de l’IA au-delà des expérimentations ponctuelles.</t>
  </si>
  <si>
    <t>Élargir l’analyse à plusieurs activités ; qualifier les opportunités selon bénéfices, faisabilité et contraintes.</t>
  </si>
  <si>
    <t>Plusieurs opportunités IA sont identifiées et leur intérêt est caractérisé.</t>
  </si>
  <si>
    <t>Potentiel identifié</t>
  </si>
  <si>
    <t>Plusieurs cas d'usage pertinents ont été identifiés dans certaines activités.</t>
  </si>
  <si>
    <t>Plusieurs cas d'usage de l'IA identifiés pour certaines activités.</t>
  </si>
  <si>
    <t>L'insuffisance du nombre de cas d'usage bloque l'évaluation de la valeur ajoutée de l'IA.</t>
  </si>
  <si>
    <t>Acquérir la capacité à qualifier les différents cas d’usage IA identifiés dans les activités (processus, produits ou services) de l’entreprise.</t>
  </si>
  <si>
    <t>Évaluer les cas d’usage selon valeur, faisabilité, données, risques et effort ; sélectionner les opportunités à expérimenter.</t>
  </si>
  <si>
    <t>Les cas d’usage prioritaires sont qualifiés pour une expérimentation structurée.</t>
  </si>
  <si>
    <t>Potentiel significatif</t>
  </si>
  <si>
    <t>L'IA peut améliorer significativement plusieurs processus, produits ou services.</t>
  </si>
  <si>
    <t>Identification de cas d'usage pouvant améliorer significativement plusieurs processus, produits ou services.</t>
  </si>
  <si>
    <t>Absence d'analyse de la transformation par l'AI des activités générant de la valeur pour l'entreprise.</t>
  </si>
  <si>
    <t>Acquérir la capacité à identifier comment l’IA peut générer de la valeur significativement sur plusieurs processus, produits ou services.</t>
  </si>
  <si>
    <t>L’IA produit des améliorations mesurables sur plusieurs processus, produits ou services.</t>
  </si>
  <si>
    <t>Potentiel élevé</t>
  </si>
  <si>
    <t>L'IA peut transformer plusieurs activités clés ou générer de nouvelles sources importantes de valeur.</t>
  </si>
  <si>
    <t>Identification de cas d'usage pouvant transformer les activités de l'entreprise en générant de la valeur.</t>
  </si>
  <si>
    <t>Une analyse complète du portefeuille de projets IA est manquante pour transformer le modèle opérationnel de l'entreprise.</t>
  </si>
  <si>
    <t>Acquérir la capacité à utiliser l’IA pour transformer plusieurs activités clés ou générer de nouvelles sources importantes de valeur.</t>
  </si>
  <si>
    <t>Plusieurs activités clés exploitent l’IA pour améliorer leurs performances ou créer de la valeur.</t>
  </si>
  <si>
    <t>Potentiel stratégique</t>
  </si>
  <si>
    <t>L'IA est susceptible de transformer en profondeur le modèle opérationnel, les produits/services ou les sources de valeur de l'entreprise.</t>
  </si>
  <si>
    <t>Les modes opérationnels de l'entreprises sont stratégiquement modifiés par l'apport de l'IA et les sources de valeurs sont démontrées.</t>
  </si>
  <si>
    <t>L'entreprise est mature sur ses potentiels de projet IA générant des actifs mais il doit avoir une attention particulière aux enjeux d'activation et de renouvellement de la valeur, pour l'inscrire dans sa stratégie.</t>
  </si>
  <si>
    <t>Acquérir la capacité à intégrer l’IA comme levier de transformation du modèle opérationnel, des produits, des services ou des sources de valeur.</t>
  </si>
  <si>
    <t>Intégrer systématiquement l’IA dans les réflexions sur modèle opérationnel, produits, services et sources de valeur ; réévaluer les opportunités.</t>
  </si>
  <si>
    <t>L’IA est intégrée aux évolutions stratégiques et opérationnelles comme levier de transformation.</t>
  </si>
  <si>
    <t>L’IA ne fait pas partie des réflexions ou ambitions de l’entreprise.</t>
  </si>
  <si>
    <t>Aucune ambition.</t>
  </si>
  <si>
    <t>L'IA absente des réflexions stratégiques de l'entreprise.</t>
  </si>
  <si>
    <t>Acquérir la capacité à intégrer l’IA dans les réflexions et ambitions de l’entreprise auprès des managers.</t>
  </si>
  <si>
    <t>Sensibiliser les dirigeants aux possibilités et enjeux de l’IA ; organiser une première réflexion sur les ambitions possibles.</t>
  </si>
  <si>
    <t>L’IA est intégrée aux réflexions de l’entreprise et une première ambition est exprimée.</t>
  </si>
  <si>
    <t>Exploratoire</t>
  </si>
  <si>
    <t>L’entreprise commence à explorer les possibilités offertes par l’IA.</t>
  </si>
  <si>
    <t>Les exploration des possibilités de l'IA sont en cours dans l'entreprise.</t>
  </si>
  <si>
    <t>Structurer l’exploration des opportunités ; sélectionner des domaines d’intérêt et documenter les enseignements.</t>
  </si>
  <si>
    <t>L’entreprise dispose d’une compréhension initiale des opportunités IA et de domaines d’exploration identifiés.</t>
  </si>
  <si>
    <t>Expérimentation</t>
  </si>
  <si>
    <t>L’entreprise affiche une volonté de développer l’IA à travers quelques initiatives ciblées.</t>
  </si>
  <si>
    <t>L'entreprise montre une volonté de développement IA sur quelques initiatives ciblées.</t>
  </si>
  <si>
    <t>L'entreprise manque d'objectifs pour des choix de projets IA</t>
  </si>
  <si>
    <t>Acquérir la capacité à transformer la vision IA de l'entreprise en initiatives ciblées et cohérentes avec les activités de l’entreprise.</t>
  </si>
  <si>
    <t>Transformer les expérimentations en initiatives ciblées ; préciser les objectifs et relier les initiatives aux besoins des activités.</t>
  </si>
  <si>
    <t>Les initiatives IA répondent à des objectifs identifiés et forment une ambition cohérente.</t>
  </si>
  <si>
    <t>Ambition définie</t>
  </si>
  <si>
    <t>Des objectifs explicites concernant l’IA sont définis au niveau de l’entreprise ou de plusieurs activités.</t>
  </si>
  <si>
    <t>L'entreprise a défini des objectifs explicites pour des usages de l'IA.</t>
  </si>
  <si>
    <t>Dans sa stratégie, l'entreprise manque de levier IA pour transformer ses activités.</t>
  </si>
  <si>
    <t>Acquérir la capacité à définir des objectifs explicites concernant l’IA au niveau de l’entreprise ou de plusieurs activités.</t>
  </si>
  <si>
    <t>Formaliser les objectifs IA ; les décliner par activités et définir les indicateurs de suivi.</t>
  </si>
  <si>
    <t>Des objectifs IA explicites sont partagés et servent de référence aux initiatives.</t>
  </si>
  <si>
    <t>Transformation</t>
  </si>
  <si>
    <t>L’IA constitue un levier identifié de transformation des activités, produits, services ou opérations.</t>
  </si>
  <si>
    <t>L'entreprise a identifié que l'IA est un levier de transformation de son activités, de ses produits ou services.</t>
  </si>
  <si>
    <t>L'entreprise manque d'orchestration transverse pour affiner son ambition stratégique de considérer l'IA comme levier majeur de sa transformation</t>
  </si>
  <si>
    <t>Acquérir la capacité à utiliser l’IA comme levier stratégique identifié de transformation des activités, produits, services ou opérations.</t>
  </si>
  <si>
    <t>Intégrer l’IA aux transformations des activités, produits, services ou opérations ; aligner investissements et priorités.</t>
  </si>
  <si>
    <t>L’IA est mobilisée comme levier de transformation et intégrée aux priorités.</t>
  </si>
  <si>
    <t>Ambition stratégique</t>
  </si>
  <si>
    <t>L’IA est considérée comme un levier majeur d’évolution du positionnement et/ou du modèle économique de l’entreprise.</t>
  </si>
  <si>
    <t>L'entreprise place l'IA comme levier stratégique de son positionnement et/ou modèle économique.</t>
  </si>
  <si>
    <t>L'entreprise est mature sur l'émergence d'une stratégie IA mais il doit avoir une attention particulière aux enjeux d'anticipation et de renouvellement de cette dernière.</t>
  </si>
  <si>
    <t>Acquérir la capacité à intégrer l’IA comme levier majeur d’évolution du positionnement ou du modèle économique de l’entreprise (Stratégie AI-Native).</t>
  </si>
  <si>
    <t>Inscrire l’IA dans l’évolution du positionnement et/ou du modèle économique ; réévaluer régulièrement l’ambition.</t>
  </si>
  <si>
    <t>L’IA est intégrée aux choix stratégiques et son ambition évolue avec le contexte.</t>
  </si>
  <si>
    <t>Aucune feuille de route</t>
  </si>
  <si>
    <t>Aucune action ou trajectoire IA définie.</t>
  </si>
  <si>
    <t>Aucune trajectoire.</t>
  </si>
  <si>
    <t>Absence d'actions coordonnées pour structurer la feuille de route IA.</t>
  </si>
  <si>
    <t>Acquérir la capacité à définir une première trajectoire d’actions permettant de mettre en œuvre l’ambition IA.</t>
  </si>
  <si>
    <t>Recenser initiatives et besoins IA ; définir premières étapes, responsables et échéances ; formaliser une trajectoire initiale.</t>
  </si>
  <si>
    <t>Une première trajectoire IA existe avec actions et responsabilités identifiées.</t>
  </si>
  <si>
    <t>Initiatives ponctuelles</t>
  </si>
  <si>
    <t>Quelques initiatives existent sans trajectoire commune.</t>
  </si>
  <si>
    <t>Des initiatives ponctuelles existent au sein de l'entreprise sans avoir pour autant une trajectoire commune.</t>
  </si>
  <si>
    <t>Manque d'une trajectoire commune au sein de l'entreprise pour les nouveaux projets IA.</t>
  </si>
  <si>
    <t>Acquérir la capacité à coordonner les initiatives IA existantes autour d’une trajectoire commune.</t>
  </si>
  <si>
    <t>Regrouper les initiatives ; identifier dépendances et priorités ; construire une trajectoire commune.</t>
  </si>
  <si>
    <t>Les principales initiatives IA sont coordonnées dans une trajectoire commune.</t>
  </si>
  <si>
    <t>Roadmap émergente</t>
  </si>
  <si>
    <t>Des initiatives sont regroupées et une première trajectoire est en cours de définition.</t>
  </si>
  <si>
    <t>Les initiatives de l'entreprise sont regroupées dans une roadmap émergente et une première trajectoire est en cours de définition.</t>
  </si>
  <si>
    <t>Insuffisance des définitions des objectifs, des échéances et  des dépendances au sein la roadmap IA de l'entreprise.</t>
  </si>
  <si>
    <t>Acquérir la capacité à structurer les initiatives IA dans une première feuille de route cohérente.</t>
  </si>
  <si>
    <t>Structurer les initiatives en chantiers ; définir objectifs, échéances, responsables et dépendances ; consolider la roadmap.</t>
  </si>
  <si>
    <t>Une roadmap IA cohérente permet de suivre les principales initiatives.</t>
  </si>
  <si>
    <t>Roadmap structurée</t>
  </si>
  <si>
    <t>Une feuille de route IA définit des initiatives, des échéances et des objectifs.</t>
  </si>
  <si>
    <t>L'entreprise a une feuille de route IA structurée qui définit les initiatives, les échéances et les objectifs.</t>
  </si>
  <si>
    <t>Lacunes dans le pilotage et l'intégration de la feuille de route au plan stratégique de l'entreprise.</t>
  </si>
  <si>
    <t>Acquérir la capacité à intégrer et piloter la feuille de route IA dans les plans de l’entreprise au moyen d’indicateurs.</t>
  </si>
  <si>
    <t>Intégrer la roadmap aux plans de l’entreprise ; définir indicateurs, revues et arbitrages.</t>
  </si>
  <si>
    <t>La roadmap IA est pilotée avec objectifs, échéances et indicateurs intégrés au pilotage.</t>
  </si>
  <si>
    <t>Roadmap pilotée</t>
  </si>
  <si>
    <t>La feuille de route est intégrée aux plans de l’entreprise et régulièrement pilotée avec des indicateurs.</t>
  </si>
  <si>
    <t>La feuille de route IA est intégrée aux plans de l’entreprise et régulièrement pilotée avec des indicateurs.</t>
  </si>
  <si>
    <t>Absence d'une trajectoire pluriannuelle pour optimiser et adapter transversalement le pilotage de la roadmap IA</t>
  </si>
  <si>
    <t>Transformation orchestrée</t>
  </si>
  <si>
    <t>Une trajectoire pluriannuelle coordonne les initiatives IA, leur passage à l’échelle et leur évolution en fonction des résultats et des priorités de l’entreprise.</t>
  </si>
  <si>
    <t>L'entreprise a une trajectoire pluriannuelle et orchestrée qui coordonne les initiatives IA, leur passage à l’échelle et leur évolution en fonction des résultats et des priorités de l’entreprise.</t>
  </si>
  <si>
    <t>L'entreprise est mature sur la structuration de sa stratégie IA intégré au plan de l'entreprise mais il doit avoir une attention particulière aux enjeux d'activation et d'adaptation permanente.</t>
  </si>
  <si>
    <t>Acquérir la capacité d'adapter sa trajectoire pluriannuelle IA en ajustant la roadmap IA à l'évolution de l'écosysteme technologique et du contexte économique de l'entreprise.</t>
  </si>
  <si>
    <t>Aucun cas d’usage</t>
  </si>
  <si>
    <t>Aucun cas d’usage IA identifié.</t>
  </si>
  <si>
    <t>Aucun cas d'usage.</t>
  </si>
  <si>
    <t>L'entreprise n'a pas identifié de cas d'usage permettant un début de gestion de portefeuille projet IA.</t>
  </si>
  <si>
    <t>Acquérir la capacité à identifier des cas d’usage IA répondant aux enjeux de l’entreprise.</t>
  </si>
  <si>
    <t>Un portefeuille initial de cas d’usage IA est identifié.</t>
  </si>
  <si>
    <t>Exploration</t>
  </si>
  <si>
    <t>Quelques cas d’usage sont identifiés sans véritable priorisation.</t>
  </si>
  <si>
    <t>L'entreprise présente quelques cas d’usage identifiés sans véritable priorisation.</t>
  </si>
  <si>
    <t>Manque de cas d'usage IA permettant de débuter des analyses de priorisation par l'entreprise.</t>
  </si>
  <si>
    <t>Acquérir la capacité à recenser les cas d’usage IA et à commencer à les comparer.</t>
  </si>
  <si>
    <t>Les cas d’usage commencent à être comparés sur une base commune.</t>
  </si>
  <si>
    <t>Identification</t>
  </si>
  <si>
    <t>Plusieurs cas d’usage sont recensés et font l’objet d’une première analyse.</t>
  </si>
  <si>
    <t>L'entreprise a recensé plusieurs cas d’usage qui font l’objet d’une première analyse.</t>
  </si>
  <si>
    <t>Analyse incomplète suivant la valeur, la faisabilité, les risques et l'effort permettant un arbitrage formalisé.</t>
  </si>
  <si>
    <t>Acquérir la capacité à analyser et prioriser les cas d’usage IA selon leur valeur, leur faisabilité, leurs risques et leurs principaux enjeux.</t>
  </si>
  <si>
    <t>Formaliser l’analyse de valeur, faisabilité, risques et effort ; préparer une première sélection.</t>
  </si>
  <si>
    <t>Les cas d’usage sont suffisamment qualifiés pour être priorisés.</t>
  </si>
  <si>
    <t>Priorisation</t>
  </si>
  <si>
    <t>Les cas d’usage sont priorisés selon des critères explicites tels que valeur, faisabilité, risques ou effort.</t>
  </si>
  <si>
    <t xml:space="preserve">L'entreprise a priorisé les cas d’usage identifiés selon des critères explicites tels que valeur, faisabilité, risques ou effort. </t>
  </si>
  <si>
    <t>L'entreprise ne fait pas de gestion des projets IA, pourtant priorisés, au sein d'un portefeuille projet permettant de faire l'allocation et le suivit de l'investissements IA.</t>
  </si>
  <si>
    <t>Portefeuille piloté</t>
  </si>
  <si>
    <t>Les initiatives sont gérées comme un portefeuille, avec arbitrage des investissements et suivi de leur progression.</t>
  </si>
  <si>
    <t>L'entreprise gère ses initiatives IA dans un portefeuille avec un arbitrage des investissements et un suivi de leur progression.</t>
  </si>
  <si>
    <t>Manque de réévaluation continue du portefeuille des projets IA permettant d'identifier les nouvelles opportunités de l'entreprise.</t>
  </si>
  <si>
    <t>Acquérir la capacité à réévaluer continuellement le portefeuille IA en fonction de la valeur créée, des résultats, des nouvelles opportunités et des priorités de l’entreprise.</t>
  </si>
  <si>
    <t>Optimisation continue</t>
  </si>
  <si>
    <t>Le portefeuille est régulièrement réévalué en fonction de la valeur créée, des résultats obtenus, des nouvelles opportunités et de l’évolution des priorités de l’entreprise.</t>
  </si>
  <si>
    <t>Le portefeuille des projets IA de l'entreprise est régulièrement réévalué en fonction de la valeur créée, des résultats obtenus, des nouvelles opportunités et de l’évolution des priorités de l’entreprise.</t>
  </si>
  <si>
    <t>L'entreprise est mature sur la gestion de son portefeuille de projets IA mais il doit avoir une attention particulière aux enjeux d'activation et d'adaptation permanente.</t>
  </si>
  <si>
    <t>Acquérir la capacité d'adapter le contenu de son portefeuille projets en ajustant les décisions en fonction de l'évolution de l'écosysteme technologique et du contexte économique de l'entreprise.</t>
  </si>
  <si>
    <t>Absence d'implication</t>
  </si>
  <si>
    <t>Les dirigeants et managers ne manifestent pas d'intérêt ou d'implication vis-à-vis de l'IA.</t>
  </si>
  <si>
    <t>Les managers ne sont pas sensibilisés à l'IA</t>
  </si>
  <si>
    <t>Acquérir la capacité du leadership à comprendre les enjeux de l’IA et à identifier les premières opportunités d’utilisation dans l’entreprise.</t>
  </si>
  <si>
    <t>Sensibiliser dirigeants et managers aux enjeux IA ; identifier les premiers sponsors et clarifier leur rôle.</t>
  </si>
  <si>
    <t>Les premiers sponsors comprennent les enjeux IA et commencent à soutenir le sujet.</t>
  </si>
  <si>
    <t>Sensibilisation</t>
  </si>
  <si>
    <t>Le sujet est connu des dirigeants et managers, mais sans implication concrète.</t>
  </si>
  <si>
    <t>Le leadership de l'entreprise est sensibilisé aux sujets IA</t>
  </si>
  <si>
    <t>la hiérarchie de l'entreprise ne soutien pas les initiatives IA de ses collaborateurs.</t>
  </si>
  <si>
    <t>Acquérir la capacité du leadership à soutenir et à rendre visibles les premières initiatives IA portées par les collaborateurs.</t>
  </si>
  <si>
    <t>Nommer des sponsors ; communiquer les objectifs IA ; donner de la visibilité aux initiatives des collaborateurs.</t>
  </si>
  <si>
    <t>Le leadership IA devient visible et les initiatives bénéficient d’un soutien identifié.</t>
  </si>
  <si>
    <t>Soutien ponctuel</t>
  </si>
  <si>
    <t>Certains dirigeants ou managers soutiennent des initiatives IA, principalement au niveau de projets individuels.</t>
  </si>
  <si>
    <t>La hiérarchie de l'entreprise soutient des initiatives IA ponctuellement</t>
  </si>
  <si>
    <t>Le leadership de l'entreprise n'encourage pas l'utilisation de l'IA au quotidien.</t>
  </si>
  <si>
    <t>Acquérir la capacité des managers à encourager et accompagner l’utilisation de l’IA dans les activités quotidiennes de leurs équipes.</t>
  </si>
  <si>
    <t>Former les managers ; partager des cas concrets ; leur donner les moyens d’encourager et d’accompagner les expérimentations.</t>
  </si>
  <si>
    <t>Les managers soutiennent plus régulièrement les initiatives et encouragent les usages.</t>
  </si>
  <si>
    <t>Soutien managérial</t>
  </si>
  <si>
    <t>Les managers encouragent l'expérimentation et l'utilisation de l'IA dans leurs équipes.</t>
  </si>
  <si>
    <t>L'entreprise encourage l'expérimentation et l'utilisation de l'IA dans les équipes</t>
  </si>
  <si>
    <t>Le leadership de l'entreprise n'est pas actif dans l'adoption de l'IA au quotidien.</t>
  </si>
  <si>
    <t>Acquérir la capacité du management à faire de l’utilisation de l’IA une pratique encouragée et intégrée dans le fonctionnement des équipes.</t>
  </si>
  <si>
    <t>Mettre en place des rituels managériaux ; valoriser les comportements attendus ; aligner les pratiques sur les objectifs d’adoption.</t>
  </si>
  <si>
    <t>L’utilisation et l’expérimentation de l’IA sont durablement encouragées dans les équipes.</t>
  </si>
  <si>
    <t>Leadership actif</t>
  </si>
  <si>
    <t>Les dirigeants et managers portent activement l'adoption de l'IA et accompagnent sa diffusion dans l'entreprise.</t>
  </si>
  <si>
    <t>L'entreprise est active dans l'adoption de l'IA par les collaborateurs et accompagne sa diffusion dans l'entreprise</t>
  </si>
  <si>
    <t>Le leadership de l'entreprise n'incarne pas assez l'adoption de l'IA au quotidien, cela n'est pas assez visible auprès de ses collaborateurs</t>
  </si>
  <si>
    <t>Acquérir la capacité des dirigeants et managers à incarner activement l’utilisation de l’IA et à en accompagner la diffusion dans l’ensemble de l’entreprise.</t>
  </si>
  <si>
    <t>Faire utiliser et promouvoir l’IA par dirigeants et managers ; intégrer les usages dans les pratiques managériales ; rendre l’exemplarité visible.</t>
  </si>
  <si>
    <t>Le leadership incarne activement l’adoption de l’IA et fournit un modèle visible aux collaborateurs.</t>
  </si>
  <si>
    <t>Leadership exemplaire</t>
  </si>
  <si>
    <t>Le leadership IA est visible dans les pratiques managériales et les dirigeants incarnent eux-mêmes l'utilisation et l'adoption de l'IA.</t>
  </si>
  <si>
    <t>La culture de l'AI est exemplaire dans l'entreprise qui incarne une adoption et une utilisation de l'IA au sein des équipes</t>
  </si>
  <si>
    <t>La culture de l'IA est acquise au sein de l'entreprise mais il manque une gouvernance durable de la prévoyance et du maintien des compétences.</t>
  </si>
  <si>
    <t>Acquérir la capacité du leadership à maintenir durablement une culture d’adoption de l’IA en faisant évoluer les pratiques managériales et l’exemplarité des dirigeants.</t>
  </si>
  <si>
    <t>Capitaliser sur les pratiques de leadership ; partager les retours ; renouveler les pratiques et maintenir l’exemplarité dans la durée.</t>
  </si>
  <si>
    <t>L’adoption de l’IA est portée durablement par un leadership exemplaire et évolutif.</t>
  </si>
  <si>
    <t>Résistance</t>
  </si>
  <si>
    <t>L'IA suscite principalement de la crainte, de la méfiance ou une résistance à son utilisation.</t>
  </si>
  <si>
    <t>Pas d'implication réelle.</t>
  </si>
  <si>
    <t>Manque de confiance et de légitimité managériale provoquant une forte résistance sur la mise en place de l'IA au sein de l'entreprise.</t>
  </si>
  <si>
    <t>Acquérir la capacité à créer les conditions permettant aux collaborateurs d’accepter progressivement l’utilisation de l’IA.</t>
  </si>
  <si>
    <t>Les résistances sont identifiées et les collaborateurs disposent de premiers repères pour envisager l’IA.</t>
  </si>
  <si>
    <t>Distance</t>
  </si>
  <si>
    <t>Les collaborateurs connaissent le sujet mais restent largement indifférents ou peu concernés.</t>
  </si>
  <si>
    <t>Les collaborateurs de l'entreprise connaissent le sujet mais restent largement indifférents ou peu concernés.</t>
  </si>
  <si>
    <t>L'entreprise n'est pas curieuse sur les initiatives de ses collaborateurs par le manque de relais actifs sur l'IA.</t>
  </si>
  <si>
    <t>Acquérir la capacité à susciter l’intérêt des collaborateurs et leur implication dans les usages de l’IA.</t>
  </si>
  <si>
    <t>Les collaborateurs perçoivent mieux l’intérêt concret de l’IA et certains expérimentent.</t>
  </si>
  <si>
    <t>Curiosité</t>
  </si>
  <si>
    <t>Une partie des collaborateurs manifeste de l'intérêt et commence à expérimenter l'IA.</t>
  </si>
  <si>
    <t>Une partie des collaborateurs de l'entreprise manifeste de l'intérêt et commence à expérimenter l'IA.</t>
  </si>
  <si>
    <t>L'entreprise ne s'engage pas de manière homogène sur les initiative de projets IA de ses collaborateurs.</t>
  </si>
  <si>
    <t>Acquérir la capacité à transformer la curiosité et les premières expérimentations en usages concrets de l’IA.</t>
  </si>
  <si>
    <t>Les expérimentations se transforment progressivement en usages concrets.</t>
  </si>
  <si>
    <t>Acceptation</t>
  </si>
  <si>
    <t>L'utilisation de l'IA est globalement acceptée et commence à entrer dans les pratiques de travail.</t>
  </si>
  <si>
    <t>Les managers encouragent l'utilisation de l'IA au sein  e l'entreprise qui est globalement acceptée et commence à entrer dans les pratiques de travail.</t>
  </si>
  <si>
    <t>L'entreprise ne s'est pas approprié l'ensemble des initiative de projets IA de ses collaborateurs permettant de renforcer son leadership transverse.</t>
  </si>
  <si>
    <t>Acquérir la capacité à favoriser l’utilisation spontanée de l’IA et le partage des expériences entre collaborateurs.</t>
  </si>
  <si>
    <t>Identifier les usages pertinents ; formaliser les bonnes pratiques ; accompagner les équipes dans l’intégration de l’IA au quotidien.</t>
  </si>
  <si>
    <t>L’utilisation de l’IA devient une pratique acceptée et régulière dans une part croissante des activités.</t>
  </si>
  <si>
    <t>Les collaborateurs utilisent spontanément l'IA pour améliorer leurs activités et partagent leurs expériences.</t>
  </si>
  <si>
    <t>Les collaborateurs de l'entreprise utilisent spontanément l'IA pour améliorer leurs activités et partagent leurs expériences soutenu par un leadership actif.</t>
  </si>
  <si>
    <t>L'entreprise ne favorise pas assez l'usage de l'IA pour transformer ses pratiques professionnelles.</t>
  </si>
  <si>
    <t>Acquérir la capacité à faire évoluer continuellement les pratiques professionnelles grâce à l’intégration de l’IA.</t>
  </si>
  <si>
    <t>Structurer les communautés de pratique ; diffuser les usages reproductibles ; intégrer les retours dans l’évolution des processus.</t>
  </si>
  <si>
    <t>Les collaborateurs s’approprient l’IA, partagent leurs pratiques et contribuent à sa diffusion.</t>
  </si>
  <si>
    <t>Transformation des pratiques</t>
  </si>
  <si>
    <t>Les collaborateurs contribuent activement à faire évoluer les usages de l'IA et intègrent celle-ci dans leurs pratiques professionnelles.</t>
  </si>
  <si>
    <t>Les collaborateurs contribuent activement à faire évoluer les usages de l'IA et intègrent celle-ci dans leurs pratiques professionnelles soutenu par un leadership exemplaire.</t>
  </si>
  <si>
    <t>Les collaborateurs de l'entreprise sont encouragés à s'approprier l'IA dans le pratiques quotidiennes mais il peut y avoir un manque d'entretien de la dynamique enclenchée.</t>
  </si>
  <si>
    <t>Acquérir la capacité à intégrer durablement l’utilisation de l’IA dans les pratiques de travail.</t>
  </si>
  <si>
    <t>Maintenir expérimentation et partage ; capitaliser les retours ; faire évoluer les pratiques avec les nouveaux usages et apprentissages.</t>
  </si>
  <si>
    <t>L’IA est durablement intégrée aux pratiques professionnelles et les collaborateurs contribuent à leur évolution.</t>
  </si>
  <si>
    <t>Aucun dispositif</t>
  </si>
  <si>
    <t>Aucun dispositif d'apprentissage, d'expérimentation ou de partage autour de l'IA.</t>
  </si>
  <si>
    <t>Il n'y a aucun dispositif d'apprentissage au sein de l'entreprise, d'expérimentation ou de partage autour de l'IA.</t>
  </si>
  <si>
    <t>Il n'y a pas de dispositifs d'apprentissage informels de l'IA en entreprise.</t>
  </si>
  <si>
    <t>Acquérir la capacité à mettre en place un premier dispositif d’apprentissage et d’expérimentation.</t>
  </si>
  <si>
    <t>Identifier les besoins d’apprentissage et d’expérimentation ; mettre en place un premier dispositif de sensibilisation et de partage.</t>
  </si>
  <si>
    <t>Un premier dispositif permet de découvrir, expérimenter et échanger autour de l’IA.</t>
  </si>
  <si>
    <t>Initiatives informelles</t>
  </si>
  <si>
    <t>Des échanges ou expérimentations existent de manière informelle entre quelques collaborateurs.</t>
  </si>
  <si>
    <t>L'entreprise note des échanges ou expérimentations de manière informelle entre quelques collaborateurs.</t>
  </si>
  <si>
    <t>L'entreprise ne soutient pas des initiatives ponctuelles d'ateliers ou de formations auprès de ses collaborateurs</t>
  </si>
  <si>
    <t>Acquérir la capacité à favoriser les échanges et expérimentations, au sein de communautés IA au-delà des initiatives individuelles.</t>
  </si>
  <si>
    <t>Des ateliers, formations, communautés ou expérimentations sont organisés ponctuellement.</t>
  </si>
  <si>
    <t>L'entreprise favorise des ateliers, formations, communautés ou expérimentations sont organisés ponctuellement.</t>
  </si>
  <si>
    <t>L'entreprise ne met pas en place des initiatives régulières de formations et de capitalisation sur l'IA.</t>
  </si>
  <si>
    <t>Acquérir la capacité à organiser périodiquement la gestion des connaissances au sein d'ateliers, formations, communautés ou expérimentations  autour de l’IA.</t>
  </si>
  <si>
    <t>Dispositifs réguliers</t>
  </si>
  <si>
    <t>Des dispositifs réguliers permettent aux collaborateurs d'apprendre, expérimenter et partager autour de l'IA.</t>
  </si>
  <si>
    <t>L'entreprise met en place des dispositifs réguliers permettant aux collaborateurs d'apprendre, expérimenter et partager autour de l'IA.</t>
  </si>
  <si>
    <t>Il n'existe pas au sein de l'entreprise de communautés transverses sur l'IA.</t>
  </si>
  <si>
    <t>Acquérir la capacité à inscrire systèmatiquement l’apprentissage, l’expérimentation et le partage de pratiques IA dans le fonctionnement de l’entreprise.</t>
  </si>
  <si>
    <t>Communautés actives</t>
  </si>
  <si>
    <t>Des communautés, réseaux ou espaces de collaboration structurés favorisent la diffusion des pratiques et des retours d'expérience.</t>
  </si>
  <si>
    <t>L'entreprise favorise des communautés, réseaux ou espaces de collaboration structurés permettant la diffusion des pratiques et des retours d'expérience.</t>
  </si>
  <si>
    <t>L'entreprise manque d'un apprentissage continu à l'IA intégré dans ses processus de ressource humaine.</t>
  </si>
  <si>
    <t>Acquérir la capacité à intégrer durablement l’apprentissage, l’expérimentation et le partage de pratiques IA dans le fonctionnement de l’entreprise.</t>
  </si>
  <si>
    <t>Apprentissage continu</t>
  </si>
  <si>
    <t>L'expérimentation, le partage et l'apprentissage autour de l'IA sont intégrés durablement dans les modes de fonctionnement de l'entreprise.</t>
  </si>
  <si>
    <t>L'entreprise a mis en place un apprentissage continu ou l'expérimentation, le partage et autour de l'IA sont intégrés durablement dans les modes de fonctionnement de l'entreprise.</t>
  </si>
  <si>
    <t>Bien que la culture de l'IA est bien implantée dans l'entreprise une attention particulière sur l'adaptabilité aux technologies de l'IA en évolution permanente est nécessaire.</t>
  </si>
  <si>
    <t>Acquérir la capacité à adapter durablement l’expérimentation, le partage et l’apprentissage IA dans les modes de fonctionnement de l’entreprise.</t>
  </si>
  <si>
    <t>Absentes</t>
  </si>
  <si>
    <t>L'entreprise ne dispose pas de compétences internes identifiées en IA.</t>
  </si>
  <si>
    <t>L'entreprise ne dispose pas de compétences internes identifiées en IA. Elle peut avoir une dépendance totale à l'extérieur.</t>
  </si>
  <si>
    <t>Acquérir une première capacité interne à concevoir, développer, déployer ou exploiter des solutions d’IA.</t>
  </si>
  <si>
    <t>Les compétences IA prioritaires et les premiers moyens pour les acquérir sont identifiés.</t>
  </si>
  <si>
    <t>Très limitées</t>
  </si>
  <si>
    <t>Quelques personnes possèdent des connaissances ou compétences IA, sans capacité collective structurée.</t>
  </si>
  <si>
    <t>L'entreprise a identifiée quelques personnes possédant des connaissances ou compétences IA, sans capacité collective structurée.</t>
  </si>
  <si>
    <t>L'entreprise dispose trop peu de compétences internes identifiées en IA et n'a pas de capacité collective et possède une couverture insuffisantes des compétences.</t>
  </si>
  <si>
    <t>Acquérir une capacité collective permettant de réaliser des projets IA au-delà de quelques connaissances individuelles.</t>
  </si>
  <si>
    <t>Constituer une première équipe ou communauté de compétences ; compléter les connaissances individuelles ; sécuriser les expertises.</t>
  </si>
  <si>
    <t>Une capacité collective initiale permet de contribuer à des projets IA ciblés.</t>
  </si>
  <si>
    <t>Partielles</t>
  </si>
  <si>
    <t>Une équipe ou plusieurs personnes disposent de compétences permettant de réaliser certains projets IA, mais des compétences importantes manquent.</t>
  </si>
  <si>
    <t>L'entreprise a définit une équipe ou plusieurs personnes disposant de compétences qui  permettent de réaliser certains projets IA, mais des compétences importantes manquent.</t>
  </si>
  <si>
    <t>L'entreprise ne dispose pas des principales compétences techniques et métier nécessaires pour développer des projets IA.</t>
  </si>
  <si>
    <t>Acquérir les compétences nécessaires pour couvrir les principales dimensions des projets IA.</t>
  </si>
  <si>
    <t>Les principales compétences nécessaires aux projets prioritaires sont couvertes.</t>
  </si>
  <si>
    <t>Opérationnelles</t>
  </si>
  <si>
    <t>L'entreprise dispose des principales compétences nécessaires pour développer et mettre en œuvre des projets IA.</t>
  </si>
  <si>
    <t>L'entreprise dispose des principales compétences opérationnelles nécessaires pour développer et mettre en œuvre des projets IA.</t>
  </si>
  <si>
    <t>Certaines compétences IA pour gagner en profondeur manquent à l'entreprise pour renforcer des dimensions de développement IA/data, ML.</t>
  </si>
  <si>
    <t>Acquérir une capacité interne couvrant l’ensemble des compétences nécessaires à la mise en œuvre de projets complets IA.</t>
  </si>
  <si>
    <t>Structurer une capacité opérationnelle couvrant les étapes des projets ; clarifier rôles et collaborations.</t>
  </si>
  <si>
    <t>L’entreprise peut développer et mettre en œuvre des projets IA avec une capacité interne opérationnelle.</t>
  </si>
  <si>
    <t>Complètes</t>
  </si>
  <si>
    <t>Les compétences couvrent les différentes dimensions nécessaires : data, IA/ML, ingénierie, intégration, déploiement et usages métiers.</t>
  </si>
  <si>
    <t>L'entreprise possède les ressources avec les compétences complètes qui couvrent les différentes dimensions nécessaires au développement de l'IA : data, IA/ML, ingénierie, intégration, déploiement et usages métiers.</t>
  </si>
  <si>
    <t>Des compétences IA pour gagner en polyvalence  manquent à l'entreprise pour renforcer son autonomie et son innovation multidisciplinaire.</t>
  </si>
  <si>
    <t>Acquérir une capacité interne multidisciplinaire permettant de concevoir, industrialiser et faire évoluer les solutions IA de manière autonome.</t>
  </si>
  <si>
    <t>Les compétences couvrent la chaîne nécessaire pour concevoir, industrialiser et déployer les solutions IA.</t>
  </si>
  <si>
    <t>Multidisciplinaires</t>
  </si>
  <si>
    <t>L'entreprise dispose d'une capacité interne multidisciplinaire permettant de concevoir, industrialiser et faire évoluer des solutions IA de manière autonome.</t>
  </si>
  <si>
    <t>Bien que les capacités de développement de projets l'IA sont présentes dans l'entreprise une anticipation des besoins de compétences adaptées aux technologies de l'IA en évolution permanente est nécessaire.</t>
  </si>
  <si>
    <t>L’entreprise dispose d’une capacité multidisciplinaire autonome capable de faire évoluer ses solutions IA.</t>
  </si>
  <si>
    <t>Aucun développement</t>
  </si>
  <si>
    <t>Aucun dispositif de développement des compétences IA.</t>
  </si>
  <si>
    <t>L'entreprise n'a aucun dispositif permettant d'envisager une progression des compétences en IA.</t>
  </si>
  <si>
    <t>Acquérir la capacité à mettre en place un premier dispositif de développement des compétences IA des collaborateurs.</t>
  </si>
  <si>
    <t>Identifier populations et compétences prioritaires ; définir un premier dispositif de sensibilisation et de développement.</t>
  </si>
  <si>
    <t>Un dispositif initial de développement des compétences IA est défini.</t>
  </si>
  <si>
    <t>Des actions ponctuelles de sensibilisation ou d'initiation sont proposées.</t>
  </si>
  <si>
    <t>L'entreprise propose des actions ponctuelles de sensibilisation ou d'initiation autour de l'IA.</t>
  </si>
  <si>
    <t>L'entreprise a peu de dispositif permettant des actions de progression des compétences en IA.</t>
  </si>
  <si>
    <t>Acquérir la capacité à proposer des actions ciblées de développement des compétences adaptées aux besoins IA identifiés.</t>
  </si>
  <si>
    <t>Formation ciblée</t>
  </si>
  <si>
    <t>Des formations sont proposées à certaines populations ou pour certains besoins.</t>
  </si>
  <si>
    <t>L'entreprise propose des formations IA à certaines populations ou pour certains besoins.</t>
  </si>
  <si>
    <t>L'entreprise manque de dispositif structuré et évaluable des parcours de progression des compétences en IA.</t>
  </si>
  <si>
    <t>Acquérir la capacité à structurer des formations IA adaptées aux différentes populations et aux besoins de l’entreprise.</t>
  </si>
  <si>
    <t>Parcours structurés</t>
  </si>
  <si>
    <t>Des parcours de développement des compétences sont définis pour différentes catégories de collaborateurs.</t>
  </si>
  <si>
    <t>L'entreprise développe des parcours structurés de développement des compétences précis pour différentes catégories de collaborateurs.</t>
  </si>
  <si>
    <t>L'entreprise manque de pilotage des parcours de formation en IA à travers l'identification des besoins de l'entreprise et leur dispense et suivi.</t>
  </si>
  <si>
    <t>Acquérir la capacité à définir des parcours de développement des compétences IA pour les différentes catégories de collaborateurs.</t>
  </si>
  <si>
    <t>Gestion des compétences</t>
  </si>
  <si>
    <t>Les compétences IA sont identifiées, évaluées et développées en fonction des rôles et des besoins de l'entreprise.</t>
  </si>
  <si>
    <t>L'entreprise possède une gestion de compétences de ses collaborateurs où les savoir faire en IA sont identifiées, évaluées et développées en fonction des rôles et des besoins de l'entreprise.</t>
  </si>
  <si>
    <t>L'entreprise manque d'une gouvernance complète des compétences en IA afin d'anticiper et actualiser les ressources des projets IA.</t>
  </si>
  <si>
    <t>Acquérir la capacité à d'entretenir les complétences IA -  évaluer les acquis et adapter régulièrement les parcours de développement - en fonction des besoins de l'entreprise.</t>
  </si>
  <si>
    <t>Développement continu</t>
  </si>
  <si>
    <t>L'entreprise dispose d'un dispositif continu permettant d'anticiper les évolutions des compétences IA, d'évaluer les acquis et d'adapter régulièrement les parcours.</t>
  </si>
  <si>
    <t>L'entreprise dispose d'une gestion des compétences complètes avec un dispositif continu permettant d'anticiper les évolutions des compétences IA, d'évaluer les acquis et d'adapter régulièrement les parcours.</t>
  </si>
  <si>
    <t>Acquérir la capacité à identifier, évaluer et développer les compétences IA en fonction de l'évolution constante des technologies IA</t>
  </si>
  <si>
    <t>Mettre en place une veille sur métiers et compétences ; réviser référentiels et parcours ; mesurer les acquis dans la durée.</t>
  </si>
  <si>
    <t>Le dispositif anticipe les évolutions et adapte continuellement les parcours.</t>
  </si>
  <si>
    <t>Aucune capacité</t>
  </si>
  <si>
    <t>Les besoins et lacunes en compétences IA ne sont pas identifiés et aucun recours externe n'est organisé.</t>
  </si>
  <si>
    <t>L'entreprise n'a pas les capacité d'identifier les besoins et lacunes en compétences IA et aucun recours externe n'est organisé.</t>
  </si>
  <si>
    <t>L'entreprise n'a pas de mécanisme d'identification au cas par cas des lacunes dans les compétences IA de ses équipes.</t>
  </si>
  <si>
    <t>Identifier besoins critiques ; cartographier lacunes ; définir les premiers moyens internes ou externes pour les combler.</t>
  </si>
  <si>
    <t>Les principales lacunes sont identifiées et font l’objet d’un premier plan de traitement.</t>
  </si>
  <si>
    <t>Réponse ponctuelle</t>
  </si>
  <si>
    <t>Les compétences manquantes sont traitées au cas par cas, principalement par recours à des prestataires ou experts externes.</t>
  </si>
  <si>
    <t>L'entreprise traite les compétences manquantes au cas par cas principalement par recours à des prestataires ou experts externes.</t>
  </si>
  <si>
    <t>L'entreprise a du mal à faire appel régulièrement à des sociétés externes pour compléter ses développements de projets IA répondant aux besoins de l'entreprise.</t>
  </si>
  <si>
    <t>Acquérir la capacité à traiter de manière structurée les compétences manquantes au-delà des recours ponctuels à des experts externes.</t>
  </si>
  <si>
    <t>Formaliser le recours aux experts et prestataires ; capitaliser les compétences apportées ; identifier les besoins récurrents.</t>
  </si>
  <si>
    <t>Les compétences manquantes sont traitées de façon moins ponctuelle et les besoins récurrents sont visibles.</t>
  </si>
  <si>
    <t>Recours régulier</t>
  </si>
  <si>
    <t>L'entreprise fait régulièrement appel à des compétences externes pour compléter ses capacités internes.</t>
  </si>
  <si>
    <t>L'entreprise n'a pas de stratégie make/buy/partner pour développer ses projets IA répondant aux besoins de l'entreprise.</t>
  </si>
  <si>
    <t>Acquérir la capacité à prendre des décisions make/buy/partner pour combiner les compétences internes et externes pour répondre aux besoins de l'entreprise.</t>
  </si>
  <si>
    <t>Analyser régulièrement les besoins ; définir un mix interne/externe ; sélectionner les partenaires nécessaires.</t>
  </si>
  <si>
    <t>L’entreprise dispose d’un recours externe organisé et complémentaire aux compétences internes.</t>
  </si>
  <si>
    <t>Approche structurée</t>
  </si>
  <si>
    <t>Les lacunes sont identifiées et font l'objet d'une stratégie combinant recrutement, formation et recours à des partenaires externes.</t>
  </si>
  <si>
    <t>L'entreprise identifie les lacunes de manière structurée en mettant en place une stratégie combinant recrutement, formation et recours à des partenaires externes.</t>
  </si>
  <si>
    <t>L'entreprise n'a pas de réseau de partenaires pour combler son déficit de compétences internes pour développer ses projets IA, répondant aux besoins de l'entreprise.</t>
  </si>
  <si>
    <t>Écosystème de compétences</t>
  </si>
  <si>
    <t>L'entreprise dispose d'un réseau structuré de partenaires, experts, fournisseurs ou institutions permettant de compléter rapidement ses compétences internes.</t>
  </si>
  <si>
    <t>L'entreprise dispose d'un écosystème structuré de partenaires, experts, fournisseurs ou institutions permettant de compléter rapidement ses compétences internes.</t>
  </si>
  <si>
    <t>L'entreprise manque d'anticipation de ses besoins en compétences permettant une allocation dynamique de sa stratégie make/buy/partner pour répondre aux besoins de l'entreprise en développement IA.</t>
  </si>
  <si>
    <t>Acquérir la capacité à anticiper les besoins en compétences et à ajuster continuellement la complémentarité entre développement interne, recrutement, mobilité et écosystème externe.</t>
  </si>
  <si>
    <t>Structurer un écosystème de partenaires, experts et fournisseurs ; définir les modalités de mobilisation et de transfert.</t>
  </si>
  <si>
    <t>L’entreprise peut compléter rapidement ses compétences grâce à un écosystème mobilisable.</t>
  </si>
  <si>
    <t>Gestion dynamique des capacités</t>
  </si>
  <si>
    <t>L'entreprise anticipe ses besoins en compétences et ajuste continuellement le mix entre développement interne, recrutement, mobilité et recours à l'écosystème externe.</t>
  </si>
  <si>
    <t>L'entreprise a une gestion dynamique de ses ressources, en anticipant ses besoins en compétences et en ajustant continuellement le mix entre développement interne, recrutement, mobilité et recours à l'écosystème externe.</t>
  </si>
  <si>
    <t>Bien que l'industrialisation des compétences IA est présente dans l'entreprise avec une stratégie make/nuy/partners établie, une optimisation de sa dynamique de ces dernières doit être adapté aux technologies de l'IA en évolution permanente pour répondre aux besoins de l'entreprise.</t>
  </si>
  <si>
    <t>Acquérir la capacité à mobiliser rapidement un réseau structuré pour faire face aux évolutions technologiques et de contexte économique de l'entreprise.</t>
  </si>
  <si>
    <t>L’entreprise anticipe ses besoins et ajuste continuellement son mix de compétences.</t>
  </si>
  <si>
    <t>Aucun cadre</t>
  </si>
  <si>
    <t>Aucun principe, règle ou responsabilité n'est défini pour l'utilisation de l'IA.</t>
  </si>
  <si>
    <t>L'entreprise n'a aucun principe, règle ou responsabilité n'est défini pour l'utilisation de l'IA.</t>
  </si>
  <si>
    <t>L'entreprise manque de cadrage informel pour commencer à définir certaines taches et responsabilités pour l'utilisation de l'IA.</t>
  </si>
  <si>
    <t>Un premier cadre de principes, règles et responsabilités encadre les usages IA prioritaires.</t>
  </si>
  <si>
    <t>Principes informels</t>
  </si>
  <si>
    <t>Des principes ou consignes existent, mais ils restent informels et peu diffusés.</t>
  </si>
  <si>
    <t>L'entreprise manque de définition de règles non formalisées néanmoins diffusées pour certains usages.</t>
  </si>
  <si>
    <t>Acquérir la capacité à formaliser et diffuser les principes et consignes applicables à l’utilisation de l’IA.</t>
  </si>
  <si>
    <t>Formaliser les principes ; les diffuser ; définir responsabilités et règles applicables aux premiers usages.</t>
  </si>
  <si>
    <t>Les principes et consignes IA sont formalisés et connus des populations concernées.</t>
  </si>
  <si>
    <t>Règles partielles</t>
  </si>
  <si>
    <t>Des règles existent pour certains usages ou risques, mais leur couverture reste limitée.</t>
  </si>
  <si>
    <t>L'entreprise définit des règles pour certains usages ou risques, mais leur couverture reste partielle et limitée.</t>
  </si>
  <si>
    <t>L'entreprise manque d'un cadre formalisé définissant a minima les principales règles d'utilisation de l'IA et des responsabilités associées et un début de couverture des risques.</t>
  </si>
  <si>
    <t>Acquérir la capacité à étendre les règles d’utilisation de l’IA aux principaux usages et risques concernés.</t>
  </si>
  <si>
    <t>Cadre formalisé</t>
  </si>
  <si>
    <t>Un cadre formalisé définit les principales règles, responsabilités et conditions d'utilisation de l'IA.</t>
  </si>
  <si>
    <t>L'entreprise définit un cadre formalisé avec les principales règles, responsabilités et conditions d'utilisation de l'IA.</t>
  </si>
  <si>
    <t>L'entreprise manque d'une gouvernance structurée définissant les risques, la sécurité, les données, la conformité, l'éthique et les responsabilités, avec des rôles clairement définis.</t>
  </si>
  <si>
    <t>Gouvernance structurée</t>
  </si>
  <si>
    <t>Le cadre couvre notamment les risques, la sécurité, les données, la conformité, l'éthique et les responsabilités, avec des rôles clairement définis.</t>
  </si>
  <si>
    <t>Le gouvernance structuré d'usage de l'IA en entreprise couvre notamment les risques, la sécurité, les données, la conformité, l'éthique et les responsabilités, avec des rôles clairement définis.</t>
  </si>
  <si>
    <t>Acquérir la capacité à intégrer la gouvernance IA dans les processus de l’entreprise et à la faire évoluer en fonction des risques, usages, réglementations et pratiques de référence.</t>
  </si>
  <si>
    <t>Gouvernance intégrée</t>
  </si>
  <si>
    <t>La gouvernance IA est intégrée aux processus de l'entreprise et évolue régulièrement en fonction des risques, des usages, des réglementations et des pratiques de référence.</t>
  </si>
  <si>
    <t>Aucune évaluation</t>
  </si>
  <si>
    <t>Les solutions IA peuvent être déployées sans processus d'évaluation ou de validation.</t>
  </si>
  <si>
    <t>Au sein de l'entreprise, les solutions IA peuvent être déployées sans processus d'évaluation ou de validation.</t>
  </si>
  <si>
    <t>L'entreprise ne controle pas les déploiements des projets et usages IA.</t>
  </si>
  <si>
    <t>Acquérir la capacité à évaluer et valider certaines solutions IA avant leur mise en production.</t>
  </si>
  <si>
    <t>Définir des critères minimaux ; identifier les projets soumis à validation ; formaliser une première revue avant mise en production.</t>
  </si>
  <si>
    <t>Les projets IA font l’objet d’une première évaluation avant déploiement.</t>
  </si>
  <si>
    <t>Évaluation ponctuelle</t>
  </si>
  <si>
    <t>Certains projets font l'objet d'une évaluation informelle avant leur déploiement.</t>
  </si>
  <si>
    <t>L'entreprise met en place ponctuellement une évaluation informelle avant leur déploiement de certains projets font l'objet</t>
  </si>
  <si>
    <t>L'entreprise manque d'approche systématique dans l'évaluation de certains projets et d'usages IA.</t>
  </si>
  <si>
    <t>Acquérir la capacité à appliquer de manière systématique certain critères d'évaluation avant le déploiement des projets IA.</t>
  </si>
  <si>
    <t>Formaliser les évaluations ; définir responsabilités de validation ; conserver décisions et éléments d’analyse.</t>
  </si>
  <si>
    <t>Les projets concernés sont évalués selon un processus identifiable avant production.</t>
  </si>
  <si>
    <t>Évaluation partielle</t>
  </si>
  <si>
    <t>Des critères d'évaluation existent pour certains projets ou certains types de risques.</t>
  </si>
  <si>
    <t>L'entreprise demande la mise en place de critères d'évaluation partielle pour certains projets ou certains types de risques.</t>
  </si>
  <si>
    <t>Acquérir la capacité à étendre un processus formalisé d’évaluation aux différents projets et types de risques concernés.</t>
  </si>
  <si>
    <t>Processus structuré</t>
  </si>
  <si>
    <t>Un processus formalisé évalue les projets selon des critères définis avant leur mise en production.</t>
  </si>
  <si>
    <t>L'entreprise a mis en place un processus formalisé d'évaluation structurée des projets IA selon des critères définis avant leur mise en production.</t>
  </si>
  <si>
    <t>Des critères multidimensionnels tel que performance, sécurité, données, risques, conformité, impacts et responsabilités, manquent lors de l'évaluation des projets et d'usages d'IA</t>
  </si>
  <si>
    <t>Acquérir la capacité à appliquer un processus formalisé évaluant les projets IA selon des critères  de performance, de sécurité, des données, des risques, de conformité, des impacts et des responsabilités avant leur mise en production.</t>
  </si>
  <si>
    <t>Évaluation multidimensionnelle</t>
  </si>
  <si>
    <t>L'évaluation couvre systématiquement les dimensions pertinentes : performance, sécurité, données, risques, conformité, impacts et responsabilités.</t>
  </si>
  <si>
    <t>L'entreprise a définit une évaluation systématique des dimensions pertinentes des projets IA: performance, sécurité, données, risques, conformité, impacts et responsabilités.</t>
  </si>
  <si>
    <t xml:space="preserve">Il y a un manque de traçabilité et d'adapation au contexte d'utilisation pour générer les niveaux d'évaluation des projets et d'usages d'IA. </t>
  </si>
  <si>
    <t>Acquérir la capacité à décider systématiquement les solutions IA selon les dimensions de performance, sécurité, données, risques, conformité, impacts et responsabilités.</t>
  </si>
  <si>
    <t>Décision fondée sur les risques</t>
  </si>
  <si>
    <t>Le niveau d'évaluation et de validation est adapté au niveau de risque et au contexte de chaque usage IA, avec traçabilité des décisions et réévaluation lorsque nécessaire.</t>
  </si>
  <si>
    <t>La gouvernance de projets IA est fondée sur la gestion des risques et le niveau d'évaluation et de validation est adapté au niveau de risque et au contexte de chaque usage IA, avec traçabilité des décisions et réévaluation lorsque nécessaire.</t>
  </si>
  <si>
    <t>Acquérir la capacité à adapter le niveau d’évaluation et de validation au risque et au contexte de chaque usage IA avec traçabilité et réévaluation lorsque nécessaire.</t>
  </si>
  <si>
    <t>Adapter le niveau d’évaluation au risque et au contexte ; tracer les décisions ; déclencher les réévaluations nécessaires.</t>
  </si>
  <si>
    <t>Aucun suivi</t>
  </si>
  <si>
    <t>Les solutions IA ne font pas l'objet d'un suivi après leur déploiement.</t>
  </si>
  <si>
    <t>L'entreprise n'a pas mis en place de suivit des solutions IA après leur déploiement.</t>
  </si>
  <si>
    <t>Le fonctionnement des solutions IA n'est pas vérifié ponctuellement, généralement en cas de problème et des dérive non détectées sont possibles.</t>
  </si>
  <si>
    <t>Acquérir la capacité à suivre les solutions IA ponctuellement après leur déploiement.</t>
  </si>
  <si>
    <t>Les solutions IA déployées sont identifiées et font l’objet d’un premier suivi.</t>
  </si>
  <si>
    <t>Suivi ponctuel</t>
  </si>
  <si>
    <t>Le fonctionnement des solutions est vérifié ponctuellement, généralement en cas de problème.</t>
  </si>
  <si>
    <t>Le fonctionnement des solutions est vérifié ponctuellement, généralement en cas de problème par l'entreprise.</t>
  </si>
  <si>
    <t>Le fonctionnement des solutions est vérifié insuffisamment, sans metrique et inégalement, et les problèmes sont détectés tardivement.</t>
  </si>
  <si>
    <t>Acquérir la capacité à vérifier régulièrement des solutions IA avec certaines metriques et à déclenchées des interventrion lors de problèmes.</t>
  </si>
  <si>
    <t>Suivi partiel</t>
  </si>
  <si>
    <t>Certaines métriques ou retours utilisateurs sont suivis, mais de manière inégale.</t>
  </si>
  <si>
    <t>L'entreprise a mis en place certaines métriques ou le suivi des retours utilisateurs, mais de manière inégale.</t>
  </si>
  <si>
    <t>Le fonctionnement des solutions n'est pas suivi avec des indicateurs réguliers entrainant une couverture et une automatisation inégales.</t>
  </si>
  <si>
    <t>Acquérir la capacité à généraliser le suivi des métriques et des retours utilisateurs aux différentes solutions IA.</t>
  </si>
  <si>
    <t>Suivi structuré</t>
  </si>
  <si>
    <t>Des indicateurs sont définis et suivis régulièrement pour les solutions IA en production.</t>
  </si>
  <si>
    <t>L'entreprise a défini des indicateurs de suivi structuré régulièrement pour les solutions IA en production.</t>
  </si>
  <si>
    <t>Un monitoring multidimensionnel est manquant pour suivre performance, qualité, sécurité, coûts, dérive des modèles et retours utilisateurs, avec des mécanismes d'alerte et d'action.</t>
  </si>
  <si>
    <t>Définir des indicateurs structurés ; automatiser leur collecte lorsque possible ; organiser revues et traitement des écarts.</t>
  </si>
  <si>
    <t>Les solutions en production font l’objet d’un suivi régulier et structuré avec actions correctives.</t>
  </si>
  <si>
    <t>Suivi continu</t>
  </si>
  <si>
    <t>Le suivi couvre notamment performance, qualité, sécurité, coûts, dérive des modèles et retours utilisateurs, avec des mécanismes d'alerte et d'action.</t>
  </si>
  <si>
    <t>Le suivi continu de l'entreprise couvre notamment performance, qualité, sécurité, coûts, dérive des modèles et retours utilisateurs, avec des mécanismes d'alerte et d'action.</t>
  </si>
  <si>
    <t>L'entreprise ne réévalue pas les solutions IA déployées permettant de les adapter au contexte de l'entreprise et/ou de les retirer lors d'une élévation des risques de leurs usages</t>
  </si>
  <si>
    <t>Acquérir la capacité à surveiller et réévaluer les solutions IA sur l’ensemble de leur cycle de vie et à les adapter, suspendre ou retirer lorsque les conditions ou les risques évoluent.</t>
  </si>
  <si>
    <t>Étendre le suivi à performance, qualité, sécurité, coûts, dérive et retours utilisateurs ; mettre en place alertes.</t>
  </si>
  <si>
    <t>L’entreprise dispose d’un suivi continu permettant de détecter les dérives et d’agir rapidement.</t>
  </si>
  <si>
    <t>Gouvernance du cycle de vie</t>
  </si>
  <si>
    <t>Les solutions IA sont surveillées et réévaluées sur l'ensemble de leur cycle de vie, avec des mécanismes permettant d'adapter, suspendre ou retirer une solution lorsque les conditions ou les risques évoluent.</t>
  </si>
  <si>
    <t>Une gouvernance complète est mis en place en surveillant et réévaluant sur l'ensemble de leur cycle de vie les solutions IA, avec des mécanismes permettant d'adapter, suspendre ou retirer une solution lorsque les conditions ou les risques évoluent.</t>
  </si>
  <si>
    <t>Bien que la surveillace du cycle de vie des projets et usages IA existe dans l'entreprise, une anticipation des risques et usages émergents doit être structurée, pour répondre aux évolutions technologiques rapides du marché de l'IA.</t>
  </si>
  <si>
    <t>Mettre en place un environnement d’expérimentation dédié à l'IA ; définir des configurations reproductibles et les modalités d’accès aux ressources.</t>
  </si>
  <si>
    <t>Des environnements dédiés à l'IA sont standardisés, avec des capacités de calcul adaptées et des processus structurés de développement et de déploiement.</t>
  </si>
  <si>
    <t>Des environnements dédiés et processus standardisés sont acquis au sein de l'entreprise</t>
  </si>
  <si>
    <t>Une infrastructure dédiée permettant de réaliser des projets IA existe, mais elle reste limitée, hétérogène ou peu standardisée.</t>
  </si>
  <si>
    <t>0- Absente : Aucune infrastructure ou capacité spécifique permettant de développer ou déployer des solutions IA.
1- Expérimentale : Des ressources IT/cloud existantes sont utilisées ponctuellement pour des expérimentations IA.
2- Disponible : Une infrastructure dédiée permettant de réaliser des projets IA existe, mais elle reste limitée, hétérogène ou peu standardisée.
3- Standardisée : Des environnements dédiés à l'IA sont standardisés, avec des capacités de calcul adaptées et des processus structurés de développement et de déploiement.
4- Optimisée : L'infrastructure est scalable, automatisée, sécurisée et optimisée pour les performances et les coûts des workloads IA.
5- À l'échelle de l'entreprise : Une plateforme IA gouvernée et industrialisée permet de supporter de nombreux cas d'usage, différents modèles et des déploiements à grande échelle, avec optimisation continue.</t>
  </si>
  <si>
    <t>Standardisée</t>
  </si>
  <si>
    <t>Les équipes disposent d’environnements IA dédiés pour plusieurs projets.</t>
  </si>
  <si>
    <t>Le manque d'une gouvernance permettant la mutualisation et la gestion multi-usages pour renforcer la présence de l'IA comme asset industriel.</t>
  </si>
  <si>
    <t>L'insuffisance d'automatisation, de monitoring et d'optimisation des environnement IA freinant le renforcement la performance des infrastructure.</t>
  </si>
  <si>
    <t>Identifier des sources pertinentes, leurs propriétaires et les règles d’accès ; définir les premières règles de qualité.</t>
  </si>
  <si>
    <t>Mettre en place catalogage, gouvernance et contrôles systématiques des sources de données ; industrialiser les pipelines et assurer la traçabilité.</t>
  </si>
  <si>
    <t>Les sources de données IA sont gouvernées, cataloguées et alimentées par des pipelines reproductibles.</t>
  </si>
  <si>
    <t>Acquérir la capacité à s'adapter à une gouvernance de la donnée évolutive tout en alimentant à grande échelle différents usages IA avec des données produits et/ou services de qualité, traçables, automatisées et réutilisables.</t>
  </si>
  <si>
    <t>Inculre une analyse de risque dans la gouvernance des donéens. Étendre l’environnement data ; automatiser alimentation et contrôles ; renforcer qualité, traçabilité et réutilisabilité à grande échelle.</t>
  </si>
  <si>
    <t>Un pilotage de la gouvernance data par les risques. Un environnement data-ready alimente différents usages IA à grande échelle.</t>
  </si>
  <si>
    <t>Quantifier les valeurs que l'IA peut transformer ou ajouter pour l'entreprise ; mesurer les gains et capitaliser les cas reproductibles.</t>
  </si>
  <si>
    <t>Identifier les activités clés transformables significateivement par l'IA ; concevoir des cas d’usage à fort impact et intégrer l’IA aux évolutions métier.</t>
  </si>
  <si>
    <t>Acquérir la capacité à orchestrer une trajectoire pluriannuelle IA en adaptant les initiatives, leur passage à l’échelle en fonction des résultats des projets IA et des prioités entreprises.</t>
  </si>
  <si>
    <t>La transformation IA est pilotée au niveau de la direction de l'entreprise dans la durée avec des arbitrages fondés sur résultats et priorités.</t>
  </si>
  <si>
    <t>Construire une trajectoire pluriannuelle transversale ; coordonner investissements et passage à l’échelle au niveau de la direction de l'entreprise; adapter la roadmap aux résultats.</t>
  </si>
  <si>
    <t>Mettre en place une veille technologique pro-active ;  mettre en place une gouvernance dynamique à l'écoute de l'ecosystème économique de l'entreprise ; réallouer régulièrement les ressources et intégrer nouveaux usages et opportunités.</t>
  </si>
  <si>
    <t>La trajectoire IA évolue continuellement selon la valeur créée, les priorités, le contexte technologique et économique.</t>
  </si>
  <si>
    <t>Recenser les premiers cas d’usage IA en lien avec les enjeux métiers ; documenter opportunités et besoins.</t>
  </si>
  <si>
    <t>Complèter les cas d'usage IA de l'entreprise ; définir des critères de comparaison ; analyser les cas selon intérêt, faisabilité et effort.</t>
  </si>
  <si>
    <t>Acquérir la capacité à gérer au sein d'un portefeuille les cas d’usage IA pour contrôller leur progression et leur cout.</t>
  </si>
  <si>
    <t>Collecter l'ensemble des cas dusage IA au sein d'un portefeuille ; Mettre en place un processus de priorisation sur les critères de valeur apportée, faisabilité, risques et efforts ; arbitrer les investissements et suivre les cas sélectionnés.</t>
  </si>
  <si>
    <t>Un portefeuile est disponible auprès des parties prenantes des projets IA ; les initiatives IA sont priorisées et suivies selon des critères explicites.</t>
  </si>
  <si>
    <t>Mettre en place des routines de reveu du portefeuille de proejt IA ; gérer les nouvelles initiatives dans le portefeuille ; arbitrer les investissements et suivre valeur, coûts, risques et progression.</t>
  </si>
  <si>
    <t>Les investissements IA sont pilotés au sein d'un portefeuille cohérent avec des indicateurs clefs de processus (KPI).</t>
  </si>
  <si>
    <t>Mettre en place une veille technologique pro-active ;  mettre en place une gouvernance dynamique à l'écoute de l'ecosystème économique de l'entreprise ; réévaluer périodiquement le portefeuille selon valeur, résultats, opportunités et priorités ; réallouer les ressources.</t>
  </si>
  <si>
    <t>Le portefeuille IA évolue continuellement pour concentrer les ressources sur les opportunités pertinentes et les adapter suivant le contexte technologique et économique.</t>
  </si>
  <si>
    <t>Expliquer enjeux et bénéfices ; partager la vision entreprise sur l'IA.</t>
  </si>
  <si>
    <t>Proposer des ateliers pouvant fare naitre des usages simples et sécurisés pour une première expérience ; identifier les collaborateurs intéressés.</t>
  </si>
  <si>
    <t>Accompagner les expérimentations ; faciliter l’accès aux outils autorisés ; partager les retours et diffuser les usages utiles; présenter des cas d’usage liés aux activités ; organiser démonstrations et expérimentations.</t>
  </si>
  <si>
    <t>Structurer les échanges formels au sein de communauté ; identifier les initiatives ; organiser des premiers ateliers et espaces de partage réguliers.</t>
  </si>
  <si>
    <t>Les initiatives commencent à être coordonnées et accessibles à un public plus large. Une comunauté IA existe au sein de l'entreprise.</t>
  </si>
  <si>
    <t>Planifier ateliers, formations, communautés ou expérimentations ; définir le socle de connaissace nécessaire à l'entreprise ; définir publics et objectifs ; capitaliser les retours.</t>
  </si>
  <si>
    <t>Des dispositifs réguliers permettent d’apprendre, expérimenter et partager autour de l’IA. Un socle de connaissance IA est débutée.</t>
  </si>
  <si>
    <t>Ancrer les dispositifs dans le fonctionnement ; organiser leur animation ; mesurer participation et réutilisation des pratiques ; abonder un wiki de connaissance IA de manière autonome par les collaborateurs.</t>
  </si>
  <si>
    <t>L’apprentissage, l’expérimentation et le partage IA deviennent des pratiques régulières. Le wiki de connaissance IA de l'entreprise est utilisé.</t>
  </si>
  <si>
    <t>Structurer communautés, réseaux et la gestion des connaissances ; faciliter circulation des pratiques ; relier les communautés aux initiatives IA.</t>
  </si>
  <si>
    <t>Intégrer apprentissage et expérimentation dans les processus ; renouveler contenus de la base de connaissance ; capitaliser en continu sur nouveaux usages et résultats.</t>
  </si>
  <si>
    <t>Des communautés actives accélèrent diffusion et capitalisation des expériences. La gestion des connaissances IA de l'entreprise est reconnue par l'ensemble de ses collborateurs.</t>
  </si>
  <si>
    <t>L’apprentissage, l’expérimentation et le partage IA sont durablement intégrés au fonctionnement. La gestion des connaissances IA de l'entreprise est maintenue à un haut niveau de disponibilité.</t>
  </si>
  <si>
    <t>Identifier les compétences IA nécessaires ; recenser les compétences existantes et els personnes cibles ; définir les besoins de développement ou recrutement.</t>
  </si>
  <si>
    <t>Cartographier les compétences manquantes ; compléter les expertises nécessaires aux projets prioritaires : data, IA/ML, ingénierie, intégration ou déploiement.</t>
  </si>
  <si>
    <t>Définir l'ensembel des compétences nécessaires aux usages de l'IA ; constituer des équipes multidisciplinaires ; renforcer interfaces data, IA, ingénierie, intégration, déploiement et métiers.</t>
  </si>
  <si>
    <t>Mettre en place une veille sur les complétences pro-active ; développer l’autonomie ; organiser capitalisation et partage d’expertise ; anticiper les nouvelles compétences nécessaires.</t>
  </si>
  <si>
    <t>Acquérir une capacité interne d'anticipation des besoins en compétences sur les métiers IA en constante évolution.</t>
  </si>
  <si>
    <t>Identifier populations et compétences prioritaires ; recueillir les besoins ; Organiser els premières formations.</t>
  </si>
  <si>
    <t>Les collaborateurs prioritaires disposent d’une première formation aux compétences IA.</t>
  </si>
  <si>
    <t>Définir des parcours de formations adaptées ; structurer contenus ; suivre participation et acquis.</t>
  </si>
  <si>
    <t>Des parcours de formations ciblées développent les compétences IA sur les besoins identifiés.</t>
  </si>
  <si>
    <t>Une GPEC IA. Des parcours structurés développent les compétences IA selon les rôles.</t>
  </si>
  <si>
    <t>Cartographier compétences à maintenir par rôle au sein de la GPEC ; évaluer niveaux ; relier écarts aux plans de développement.</t>
  </si>
  <si>
    <t>La GPEC IA est à jour. Les compétences IA sont identifiées, évaluées et développées selon les besoins.</t>
  </si>
  <si>
    <t>Acquérir la capacité à identifier les besoins et lacunes en compétences et à les faire porter en externe.</t>
  </si>
  <si>
    <t>Acquérir la capacité à définir une stratégie de partenariat pour le recours de services externes pour combler les lacunes internes.</t>
  </si>
  <si>
    <t>Cartographier les partenariats possible suivant le domaine d'expertise de l'entreprise et/ou sa stratégie de sous-traitance ; établir une stratégie combinant recrutement, formation, mobilité et partenaires ; suivre écarts et plans de comblement.</t>
  </si>
  <si>
    <t>Cartographie des partenariats potentiels. Les lacunes sont gérées au moyen d’une stratégie structurée combinant plusieurs leviers.</t>
  </si>
  <si>
    <t>Mettre en place une veille des partenariats pro-active ; mettre en place une gouvernance dynamique à l'écoute de l'ecosystème économique de l'entreprise ; ajuster continuellement recrutement, développement, mobilité et externe.</t>
  </si>
  <si>
    <t>Acquérir la capacité à définir les premiers principes de la gouvernance IA avec des règles et responsabilités encadrant l’utilisation de l’IA.</t>
  </si>
  <si>
    <t>Identifier les principaux risques et besoins de contrôle liés aux usages de l'IA ; définir premières règles et responsabilités ; sensibiliser les équipes.</t>
  </si>
  <si>
    <t>Standardiser les règles aux principaux usages et risques ; documenter responsabilités ; identifier contrôles complémentaires.</t>
  </si>
  <si>
    <t>Les principaux usages et risques sont standardiser au sein de l'entreprise qui dispose de règles et responsabilités identifiées.</t>
  </si>
  <si>
    <t>Acquérir la capacité à disposer d’une gouvernance structurée de l'IA définissant les risques, la sécurité, les données, la conformité, l'éthique et les responsabilités, avec des rôles clairement définis.</t>
  </si>
  <si>
    <t>Formaliser le gouvernance ; définir rôles, responsabilités, processus et conditions d’utilisation ; organiser son application.</t>
  </si>
  <si>
    <t>Un gouvernance IA formalisée encadre les principaux projets et usages IA.</t>
  </si>
  <si>
    <t>L'entreprise n'a pas une gouvernance suffisante de l'utilisation de l'IA intégrée à ses processus permettant une évolution continue en fonction des évolutions de l'écosystème d'entreprise.</t>
  </si>
  <si>
    <t>Intégrer la gouvernacne IA dans les procesus d'entreprise : couvrir risques, sécurité, données, conformité, éthique et responsabilités ; mettre en place instances et contrôles.</t>
  </si>
  <si>
    <t>Une gouvernance IA intégrée aux processus d'entreprise couvre les principales dimensions de risque avec des responsabilités claires.</t>
  </si>
  <si>
    <t>Bien que le développement des compétences IA est présente dans l'entreprise, une anticipation des besoins du marché adaptés aux technologies de l'IA en évolution permanente est nécessaire.</t>
  </si>
  <si>
    <t>Bien que l'émergence d'une gouvernance de l'utilisation de l'IA existe dans l'entreprise, une anticipation d'une gouvernance IA adaptés aux évolutions permanentes technologiques et  règlementaires de l'IA est nécessaire.</t>
  </si>
  <si>
    <t>Acquérir la capacité à couvrir de manière structurée l'ensemble des évolutions technologiques et réglementaires de l'IA.</t>
  </si>
  <si>
    <t>Assurer une veille réglementaire, méthodologique et technologique; réviser règles et contrôles.</t>
  </si>
  <si>
    <t>L'entreprise manque de critères formalisés lors de la mise en production de projets et d'usages IA pour limiter les risques.</t>
  </si>
  <si>
    <t>Standardiser les critères d'évaluation et validation des projets et des risques ; définir seuils ou conditions de validation adaptés.</t>
  </si>
  <si>
    <t>Les principaux projets et types de risques disposent de critères d’évaluation identifiés avec des standards d'entreprise.</t>
  </si>
  <si>
    <t>Mettre en œuvre des capacité d'audits de la mise en production des porjets IA  ; standardiser les dossiers ; assurer la traçabilité des décisions.</t>
  </si>
  <si>
    <t>Chaque projet concerné est audité selon un processus qualité avant production.</t>
  </si>
  <si>
    <t>Intégrer performance, sécurité, données, risques, conformité, impacts et responsabilités selon les cas au sein des standard d'audit des protejs IA.</t>
  </si>
  <si>
    <t>Les décisions de mise en production reposent sur une évaluation multidimensionnelle standardisée.</t>
  </si>
  <si>
    <t>Bien que l'évaluation et la validation des projets et usages IA sont standardisés, une anticipation des risques et usages émergents doit être amenée, et industrialisée de manière à controler l'ensemble du cycle de vie des usages de l'IA.</t>
  </si>
  <si>
    <t>Les audits qualités des projets IA sont proportionnées aux risques et restent traçables lorsque les conditions évoluent.</t>
  </si>
  <si>
    <t>Identifier les solutions IA en exploitation ; définir indicateurs et responsabilités ; mettre en place un premier contrôle post-déploiement.</t>
  </si>
  <si>
    <t>Planifier des vérifications régulières ; définir seuils d’alerte ; documenter incidents et actions correctives (ouvir un portail de ticketing).</t>
  </si>
  <si>
    <t>Le fonctionnement des solutions IA est vérifié régulièrement et les problèmes sont tracés. Les premires tickets sont traités.</t>
  </si>
  <si>
    <t>Standardiser le suivi des métriques et retours utilisateurs ; harmoniser indicateurs et responsabilités.</t>
  </si>
  <si>
    <t>Les principales solutions disposent d’un suivi homogène des indicateurs et retours au sein de portail de suivi.</t>
  </si>
  <si>
    <t>Acquérir la capacité à définir et suivre régulièrement des indicateurs multidimensionels permettant de surveiller les solutions IA en exploitation, notamment sur la performance, la qualité, la sécurité, les coûts, la dérive des modèles et les retours utilisateurs, avec des mécanismes d'alerte et d'action..</t>
  </si>
  <si>
    <t>Assurer une veille réglementaire, méthodologique et technologique; intégrer le monitoring au cycle de vie ; organiser réévaluations ; définir mécanismes d’adaptation, suspension ou retrait.</t>
  </si>
  <si>
    <t>Acquérir la capacité à adapter la gouvernance du cycle de vie de chaque usage IA avec traçabilité et réévaluation lorsque nécessaire, notamment suite à un changement réglementaire.</t>
  </si>
  <si>
    <t>Les solutions IA sont gouvernées sur tout leur cycle de vie et peuvent être adaptées, suspendues ou retirées en fonction du contexte économique, technologique ou réglementaire.</t>
  </si>
  <si>
    <t>plan d'actions cout terme</t>
  </si>
  <si>
    <t>Une ambition d'entreprise non traduite en choix de quelques initiatives ciblées.</t>
  </si>
  <si>
    <t>Acquérir la capacité à définir une vision des possibilités offertes par l’IA.</t>
  </si>
  <si>
    <t>les capacités à acquérir ;</t>
  </si>
  <si>
    <t>L</t>
  </si>
  <si>
    <t>C</t>
  </si>
  <si>
    <t>S</t>
  </si>
  <si>
    <t>À chaque score : acquis → blocage vers le niveau suivant → capacité à acquérir → actions prioritaires → résultat attendu.</t>
  </si>
  <si>
    <t>plan d'actions moyen terme</t>
  </si>
  <si>
    <t>TRI des 3 vigilences</t>
  </si>
  <si>
    <t>check</t>
  </si>
  <si>
    <t>min existant</t>
  </si>
  <si>
    <t>moyen terme initial</t>
  </si>
  <si>
    <t>Niveau</t>
  </si>
  <si>
    <t>L'IA est un moteur de croissance piloté au niveau stratégique. L'usage est généralisé pour tous les collaborateurs. L'entreprise dispose de compétences internes et crée ses propres solutions. Le ROI est mesuré.</t>
  </si>
  <si>
    <t>Maturité</t>
  </si>
  <si>
    <t>Symbole</t>
  </si>
  <si>
    <t>En friche</t>
  </si>
  <si>
    <t>En exploration</t>
  </si>
  <si>
    <t>En chantier</t>
  </si>
  <si>
    <t>En exploitation</t>
  </si>
  <si>
    <t>En pilotage</t>
  </si>
  <si>
    <t>Strategie</t>
  </si>
  <si>
    <t>Competences</t>
  </si>
  <si>
    <t>L'entreprise est engagée dans une approche structurée et a déployé des outils ou une infrastructure.
Elle est engagée dans une approche structurée. A défini des règles d'usage claires et intégré l'IA dans le quotidiens des métiers.</t>
  </si>
  <si>
    <t>L'entreprise a entrepris des actions ciblées mais la démarche n'est pas encore structurée (données non centralisées, commence à recruter, gouvernance peu travaillée).
Elle commence à développer ou intégrer des solutions IA et à former ses collaborateurs. La démarche n'est pas encore structurée : la gouvernance (charte IA, rôles &amp; responsabilité, sécurité des données) est encore inexistante ou faiblement travaillée.</t>
  </si>
  <si>
    <t>L'entreprise n'a entrepris aucune démarche et n'a pas de projet à court terme.
Elle n'a engagé aucune réflexion sur l'IA. Pas ou très peu d'usage professionnel, voire l'entreprise a bloqué l'accès aux solutions d'IA génératives.</t>
  </si>
  <si>
    <t>L'entreprise a pris conscience du potentiel offert par les données. Commence à s'interroger, à tester, est à la recherche de solutions.
Certains collaborateurs utilisent des outils individuellement (souvent sans supervision). La direction commence à s'interroger et à tester quelques outils sur étagère, sans stratégie définie.</t>
  </si>
  <si>
    <t>EntrepriseA</t>
  </si>
  <si>
    <t>EntrepriseB</t>
  </si>
  <si>
    <t>EntrepriseC</t>
  </si>
  <si>
    <t>EntrepriseD</t>
  </si>
  <si>
    <t>Construire une GPEC (La Gestion prévisionnelle des emplois et des compétences) au sein de l'entreprise ; construire des parcours par catégories ; définir niveaux, objectifs et modalités ; suivre la progression.</t>
  </si>
  <si>
    <t>L'entreprise donne des principes ou consignes qui restent informels et peu diffusés.</t>
  </si>
  <si>
    <t>La gouvernance IA est intégrée au fonctionnement de l'entreprise et bénéficie des veilles réglementaire, méthodologique et technologique.</t>
  </si>
  <si>
    <t>EntrepriseE</t>
  </si>
  <si>
    <t>Inexistant</t>
  </si>
  <si>
    <t>L'entreprise initie des expérimentations techniques et informelles autour de l'IA, portées par un leadership sensibilisé et des compétences externes ponctuelles. Cependant, la démarche manque encore de stratégie globale, de gouvernance des données et d'adhésion collective pour structurer ces opportunités.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</si>
</sst>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font>
    <font>
      <b/>
      <sz val="11"/>
      <color theme="1"/>
      <name val="Calibri"/>
      <family val="2"/>
    </font>
    <font>
      <b/>
      <sz val="11"/>
      <color rgb="FF000000"/>
      <name val="Calibri"/>
      <family val="2"/>
    </font>
    <font>
      <sz val="11"/>
      <color rgb="FF000000"/>
      <name val="Calibri"/>
      <family val="2"/>
    </font>
    <font>
      <i/>
      <sz val="11"/>
      <color theme="1"/>
      <name val="Calibri"/>
      <family val="2"/>
    </font>
    <font>
      <sz val="11"/>
      <color theme="1"/>
      <name val="Aptos Narrow"/>
      <family val="2"/>
      <scheme val="minor"/>
    </font>
    <font>
      <sz val="12"/>
      <color theme="10"/>
      <name val="Aptos Narrow"/>
      <family val="2"/>
      <scheme val="minor"/>
    </font>
    <font>
      <b/>
      <sz val="11"/>
      <color rgb="FFFFFFFF"/>
      <name val="Calibri"/>
      <family val="2"/>
    </font>
    <font>
      <b/>
      <sz val="11"/>
      <name val="Calibri"/>
      <family val="2"/>
    </font>
    <font>
      <b/>
      <sz val="16"/>
      <color rgb="FFFFFFFF"/>
      <name val="Calibri"/>
      <family val="2"/>
    </font>
    <font>
      <i/>
      <sz val="11"/>
      <color rgb="FF000000"/>
      <name val="Calibri"/>
      <family val="2"/>
    </font>
    <font>
      <sz val="11"/>
      <color theme="1"/>
      <name val="Calibri"/>
      <family val="2"/>
    </font>
    <font>
      <sz val="12"/>
      <color theme="10"/>
      <name val="Calibri"/>
      <family val="2"/>
    </font>
    <font>
      <sz val="14"/>
      <color rgb="FF000000"/>
      <name val="Calibri"/>
      <family val="2"/>
    </font>
    <font>
      <b/>
      <sz val="14"/>
      <color theme="1"/>
      <name val="Calibri"/>
      <family val="2"/>
    </font>
    <font>
      <b/>
      <sz val="14"/>
      <color rgb="FF000000"/>
      <name val="Calibri"/>
      <family val="2"/>
    </font>
    <font>
      <sz val="10"/>
      <color rgb="FF000000"/>
      <name val="Tahoma"/>
      <family val="2"/>
    </font>
  </fonts>
  <fills count="9">
    <fill>
      <patternFill patternType="none"/>
    </fill>
    <fill>
      <patternFill patternType="gray125"/>
    </fill>
    <fill>
      <patternFill patternType="solid">
        <fgColor theme="4" tint="0.79998168889431442"/>
        <bgColor indexed="64"/>
      </patternFill>
    </fill>
    <fill>
      <patternFill patternType="solid">
        <fgColor theme="3" tint="0.89999084444715716"/>
        <bgColor indexed="64"/>
      </patternFill>
    </fill>
    <fill>
      <patternFill patternType="solid">
        <fgColor rgb="FF1F4E78"/>
      </patternFill>
    </fill>
    <fill>
      <patternFill patternType="solid">
        <fgColor rgb="FFD9EAF7"/>
      </patternFill>
    </fill>
    <fill>
      <patternFill patternType="solid">
        <fgColor rgb="FFE2F0D9"/>
      </patternFill>
    </fill>
    <fill>
      <patternFill patternType="solid">
        <fgColor theme="2"/>
        <bgColor indexed="64"/>
      </patternFill>
    </fill>
    <fill>
      <patternFill patternType="solid">
        <fgColor theme="7" tint="0.79998168889431442"/>
        <bgColor indexed="64"/>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3">
    <xf numFmtId="0" fontId="0" fillId="0" borderId="0"/>
    <xf numFmtId="0" fontId="5" fillId="0" borderId="0"/>
    <xf numFmtId="0" fontId="6" fillId="0" borderId="0"/>
  </cellStyleXfs>
  <cellXfs count="68">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xf numFmtId="0" fontId="3" fillId="0" borderId="0" xfId="0" applyFont="1"/>
    <xf numFmtId="0" fontId="3" fillId="0" borderId="0" xfId="0" applyFont="1" applyAlignment="1">
      <alignment textRotation="90"/>
    </xf>
    <xf numFmtId="0" fontId="0" fillId="0" borderId="0" xfId="0" applyAlignment="1">
      <alignment textRotation="90"/>
    </xf>
    <xf numFmtId="0" fontId="0" fillId="0" borderId="0" xfId="0" applyAlignment="1">
      <alignment horizontal="center"/>
    </xf>
    <xf numFmtId="2" fontId="0" fillId="0" borderId="0" xfId="0" applyNumberFormat="1"/>
    <xf numFmtId="2" fontId="3" fillId="0" borderId="0" xfId="0" applyNumberFormat="1" applyFont="1"/>
    <xf numFmtId="0" fontId="3" fillId="0" borderId="0" xfId="0" applyFont="1" applyAlignment="1">
      <alignment horizontal="center" vertical="center"/>
    </xf>
    <xf numFmtId="0" fontId="3" fillId="3" borderId="0" xfId="0" applyFont="1" applyFill="1" applyAlignment="1">
      <alignment horizontal="center" vertical="center"/>
    </xf>
    <xf numFmtId="0" fontId="2" fillId="2" borderId="0" xfId="0" applyFont="1" applyFill="1" applyAlignment="1">
      <alignment horizontal="center" vertical="center"/>
    </xf>
    <xf numFmtId="0" fontId="2" fillId="0" borderId="0" xfId="0" applyFont="1" applyAlignment="1">
      <alignment vertical="top"/>
    </xf>
    <xf numFmtId="0" fontId="2" fillId="3" borderId="0" xfId="0" applyFont="1" applyFill="1" applyAlignment="1">
      <alignment vertical="top"/>
    </xf>
    <xf numFmtId="0" fontId="0" fillId="2" borderId="0" xfId="0" applyFill="1"/>
    <xf numFmtId="0" fontId="0" fillId="0" borderId="0" xfId="0" applyAlignment="1">
      <alignment vertical="top"/>
    </xf>
    <xf numFmtId="0" fontId="0" fillId="0" borderId="0" xfId="0" applyAlignment="1">
      <alignment wrapText="1"/>
    </xf>
    <xf numFmtId="0" fontId="5" fillId="0" borderId="0" xfId="1"/>
    <xf numFmtId="0" fontId="5" fillId="0" borderId="1" xfId="1" applyBorder="1" applyAlignment="1">
      <alignment vertical="top" wrapText="1"/>
    </xf>
    <xf numFmtId="0" fontId="8" fillId="5" borderId="0" xfId="1" applyFont="1" applyFill="1"/>
    <xf numFmtId="0" fontId="8" fillId="0" borderId="1" xfId="1" applyFont="1" applyBorder="1" applyAlignment="1">
      <alignment vertical="top" wrapText="1"/>
    </xf>
    <xf numFmtId="0" fontId="8" fillId="6" borderId="1" xfId="1" applyFont="1" applyFill="1" applyBorder="1" applyAlignment="1">
      <alignment horizontal="center" vertical="top"/>
    </xf>
    <xf numFmtId="0" fontId="7" fillId="4" borderId="1" xfId="1" applyFont="1" applyFill="1" applyBorder="1" applyAlignment="1">
      <alignment wrapText="1"/>
    </xf>
    <xf numFmtId="0" fontId="8" fillId="5" borderId="1" xfId="1" applyFont="1" applyFill="1" applyBorder="1"/>
    <xf numFmtId="0" fontId="2" fillId="0" borderId="0" xfId="0" applyFont="1" applyAlignment="1">
      <alignment vertical="top" wrapText="1"/>
    </xf>
    <xf numFmtId="0" fontId="0" fillId="0" borderId="0" xfId="0" quotePrefix="1"/>
    <xf numFmtId="0" fontId="0" fillId="2" borderId="0" xfId="0" applyFill="1" applyAlignment="1">
      <alignment wrapText="1"/>
    </xf>
    <xf numFmtId="2" fontId="4" fillId="2" borderId="0" xfId="0" applyNumberFormat="1" applyFont="1" applyFill="1" applyAlignment="1">
      <alignment wrapText="1"/>
    </xf>
    <xf numFmtId="2" fontId="4" fillId="0" borderId="0" xfId="0" applyNumberFormat="1" applyFont="1"/>
    <xf numFmtId="2" fontId="4" fillId="3" borderId="0" xfId="0" applyNumberFormat="1" applyFont="1" applyFill="1"/>
    <xf numFmtId="0" fontId="4" fillId="2" borderId="0" xfId="0" applyFont="1" applyFill="1" applyAlignment="1">
      <alignment horizontal="right" vertical="top" wrapText="1"/>
    </xf>
    <xf numFmtId="0" fontId="10" fillId="2" borderId="0" xfId="0" applyFont="1" applyFill="1" applyAlignment="1">
      <alignment horizontal="right"/>
    </xf>
    <xf numFmtId="0" fontId="2" fillId="0" borderId="0" xfId="0" applyFont="1" applyAlignment="1">
      <alignment horizontal="left" vertical="center"/>
    </xf>
    <xf numFmtId="0" fontId="2" fillId="3" borderId="0" xfId="0" applyFont="1" applyFill="1" applyAlignment="1">
      <alignment horizontal="left" vertical="center"/>
    </xf>
    <xf numFmtId="0" fontId="7" fillId="4" borderId="2" xfId="1" applyFont="1" applyFill="1" applyBorder="1"/>
    <xf numFmtId="0" fontId="11" fillId="0" borderId="0" xfId="1" applyFont="1"/>
    <xf numFmtId="0" fontId="12" fillId="0" borderId="2" xfId="2" applyFont="1" applyBorder="1" applyAlignment="1">
      <alignment vertical="top"/>
    </xf>
    <xf numFmtId="0" fontId="11" fillId="0" borderId="2" xfId="1" applyFont="1" applyBorder="1" applyAlignment="1">
      <alignment vertical="top" wrapText="1"/>
    </xf>
    <xf numFmtId="0" fontId="14" fillId="3" borderId="0" xfId="0" applyFont="1" applyFill="1" applyAlignment="1">
      <alignment horizontal="center" vertical="top"/>
    </xf>
    <xf numFmtId="0" fontId="15" fillId="7" borderId="0" xfId="0" applyFont="1" applyFill="1" applyAlignment="1">
      <alignment horizontal="center" vertical="center"/>
    </xf>
    <xf numFmtId="0" fontId="13" fillId="0" borderId="0" xfId="0" applyFont="1" applyAlignment="1">
      <alignment horizontal="right" vertical="top"/>
    </xf>
    <xf numFmtId="0" fontId="5" fillId="0" borderId="0" xfId="1" applyAlignment="1">
      <alignment wrapText="1"/>
    </xf>
    <xf numFmtId="0" fontId="1" fillId="0" borderId="0" xfId="0" applyFont="1" applyAlignment="1">
      <alignment horizontal="right" vertical="top"/>
    </xf>
    <xf numFmtId="0" fontId="0" fillId="0" borderId="0" xfId="0" applyAlignment="1">
      <alignment horizontal="right" wrapText="1"/>
    </xf>
    <xf numFmtId="0" fontId="1" fillId="0" borderId="0" xfId="0" applyFont="1" applyAlignment="1">
      <alignment horizontal="right"/>
    </xf>
    <xf numFmtId="0" fontId="0" fillId="0" borderId="0" xfId="0" applyAlignment="1">
      <alignment horizontal="center" vertical="center"/>
    </xf>
    <xf numFmtId="0" fontId="0" fillId="0" borderId="0" xfId="0" applyAlignment="1">
      <alignment horizontal="right" vertical="center"/>
    </xf>
    <xf numFmtId="0" fontId="0" fillId="0" borderId="0" xfId="0" applyAlignment="1">
      <alignment vertical="center"/>
    </xf>
    <xf numFmtId="0" fontId="10" fillId="8" borderId="0" xfId="0" applyFont="1" applyFill="1" applyAlignment="1">
      <alignment horizontal="right" vertical="top"/>
    </xf>
    <xf numFmtId="0" fontId="10" fillId="2" borderId="0" xfId="0" applyFont="1" applyFill="1" applyAlignment="1">
      <alignment horizontal="center" vertical="center"/>
    </xf>
    <xf numFmtId="2" fontId="10" fillId="8" borderId="0" xfId="0" applyNumberFormat="1" applyFont="1" applyFill="1" applyAlignment="1">
      <alignment horizontal="center" vertical="center"/>
    </xf>
    <xf numFmtId="0" fontId="1" fillId="0" borderId="0" xfId="0" applyFont="1" applyAlignment="1">
      <alignment vertical="center"/>
    </xf>
    <xf numFmtId="0" fontId="0" fillId="0" borderId="0" xfId="0" applyAlignment="1">
      <alignment vertical="center" wrapText="1"/>
    </xf>
    <xf numFmtId="2" fontId="4" fillId="2" borderId="0" xfId="0" applyNumberFormat="1" applyFont="1" applyFill="1"/>
    <xf numFmtId="1" fontId="0" fillId="0" borderId="0" xfId="0" applyNumberFormat="1"/>
    <xf numFmtId="0" fontId="9" fillId="4" borderId="0" xfId="1" applyFont="1" applyFill="1" applyAlignment="1">
      <alignment horizontal="center"/>
    </xf>
    <xf numFmtId="0" fontId="5" fillId="0" borderId="0" xfId="1"/>
    <xf numFmtId="0" fontId="11" fillId="0" borderId="0" xfId="1" applyFont="1" applyAlignment="1">
      <alignment wrapText="1"/>
    </xf>
    <xf numFmtId="0" fontId="1" fillId="0" borderId="0" xfId="0" applyFont="1" applyAlignment="1">
      <alignment horizontal="center"/>
    </xf>
    <xf numFmtId="0" fontId="0" fillId="0" borderId="0" xfId="0" applyAlignment="1">
      <alignment horizontal="left" vertical="top" wrapText="1"/>
    </xf>
    <xf numFmtId="0" fontId="2" fillId="0" borderId="0" xfId="0" applyFont="1" applyAlignment="1">
      <alignment horizontal="right" vertical="top" wrapText="1"/>
    </xf>
    <xf numFmtId="0" fontId="0" fillId="0" borderId="0" xfId="0" applyAlignment="1">
      <alignment wrapText="1"/>
    </xf>
    <xf numFmtId="0" fontId="5" fillId="0" borderId="1" xfId="1" applyBorder="1" applyAlignment="1">
      <alignment wrapText="1"/>
    </xf>
    <xf numFmtId="0" fontId="0" fillId="0" borderId="3" xfId="0" applyBorder="1"/>
    <xf numFmtId="0" fontId="0" fillId="0" borderId="4" xfId="0" applyBorder="1"/>
    <xf numFmtId="0" fontId="5" fillId="0" borderId="1" xfId="1" applyBorder="1" applyAlignment="1">
      <alignment vertical="top" wrapText="1"/>
    </xf>
    <xf numFmtId="0" fontId="9" fillId="4" borderId="0" xfId="1" applyFont="1" applyFill="1"/>
  </cellXfs>
  <cellStyles count="3">
    <cellStyle name="Lien hypertexte 2" xfId="2" xr:uid="{00000000-0005-0000-0000-000002000000}"/>
    <cellStyle name="Normal" xfId="0" builtinId="0"/>
    <cellStyle name="Normal 2" xfId="1" xr:uid="{00000000-0005-0000-0000-000001000000}"/>
  </cellStyles>
  <dxfs count="18">
    <dxf>
      <alignment horizontal="general" vertical="top" wrapText="1"/>
      <border>
        <left style="thin">
          <color rgb="FFB7B7B7"/>
        </left>
        <right style="thin">
          <color rgb="FFB7B7B7"/>
        </right>
        <top style="thin">
          <color rgb="FFB7B7B7"/>
        </top>
        <bottom style="thin">
          <color rgb="FFB7B7B7"/>
        </bottom>
        <vertical/>
        <horizontal/>
      </border>
    </dxf>
    <dxf>
      <alignment horizontal="general" vertical="top" wrapText="1"/>
      <border>
        <left style="thin">
          <color rgb="FFB7B7B7"/>
        </left>
        <right style="thin">
          <color rgb="FFB7B7B7"/>
        </right>
        <top style="thin">
          <color rgb="FFB7B7B7"/>
        </top>
        <bottom style="thin">
          <color rgb="FFB7B7B7"/>
        </bottom>
        <vertical/>
        <horizontal/>
      </border>
    </dxf>
    <dxf>
      <alignment horizontal="general" vertical="top" wrapText="1"/>
      <border>
        <left style="thin">
          <color rgb="FFB7B7B7"/>
        </left>
        <right style="thin">
          <color rgb="FFB7B7B7"/>
        </right>
        <top style="thin">
          <color rgb="FFB7B7B7"/>
        </top>
        <bottom style="thin">
          <color rgb="FFB7B7B7"/>
        </bottom>
        <vertical/>
        <horizontal/>
      </border>
    </dxf>
    <dxf>
      <alignment horizontal="general" vertical="top" wrapText="1"/>
      <border>
        <left style="thin">
          <color rgb="FFB7B7B7"/>
        </left>
        <right style="thin">
          <color rgb="FFB7B7B7"/>
        </right>
        <top style="thin">
          <color rgb="FFB7B7B7"/>
        </top>
        <bottom style="thin">
          <color rgb="FFB7B7B7"/>
        </bottom>
        <vertical/>
        <horizontal/>
      </border>
    </dxf>
    <dxf>
      <alignment horizontal="general" vertical="top" wrapText="1"/>
      <border>
        <left style="thin">
          <color rgb="FFB7B7B7"/>
        </left>
        <right style="thin">
          <color rgb="FFB7B7B7"/>
        </right>
        <top style="thin">
          <color rgb="FFB7B7B7"/>
        </top>
        <bottom style="thin">
          <color rgb="FFB7B7B7"/>
        </bottom>
        <vertical/>
        <horizontal/>
      </border>
    </dxf>
    <dxf>
      <alignment horizontal="general" vertical="top" wrapText="1"/>
      <border>
        <left style="thin">
          <color rgb="FFB7B7B7"/>
        </left>
        <right style="thin">
          <color rgb="FFB7B7B7"/>
        </right>
        <top style="thin">
          <color rgb="FFB7B7B7"/>
        </top>
        <bottom style="thin">
          <color rgb="FFB7B7B7"/>
        </bottom>
        <vertical/>
        <horizontal/>
      </border>
    </dxf>
    <dxf>
      <alignment horizontal="general" vertical="top" wrapText="1"/>
      <border>
        <left style="thin">
          <color rgb="FFB7B7B7"/>
        </left>
        <right style="thin">
          <color rgb="FFB7B7B7"/>
        </right>
        <top style="thin">
          <color rgb="FFB7B7B7"/>
        </top>
        <bottom style="thin">
          <color rgb="FFB7B7B7"/>
        </bottom>
        <vertical/>
        <horizontal/>
      </border>
    </dxf>
    <dxf>
      <alignment horizontal="general" vertical="top" wrapText="1"/>
      <border>
        <left style="thin">
          <color rgb="FFB7B7B7"/>
        </left>
        <right style="thin">
          <color rgb="FFB7B7B7"/>
        </right>
        <top style="thin">
          <color rgb="FFB7B7B7"/>
        </top>
        <bottom style="thin">
          <color rgb="FFB7B7B7"/>
        </bottom>
        <vertical/>
        <horizontal/>
      </border>
    </dxf>
    <dxf>
      <alignment horizontal="general" vertical="top" wrapText="1"/>
      <border>
        <left style="thin">
          <color rgb="FFB7B7B7"/>
        </left>
        <right style="thin">
          <color rgb="FFB7B7B7"/>
        </right>
        <top style="thin">
          <color rgb="FFB7B7B7"/>
        </top>
        <bottom style="thin">
          <color rgb="FFB7B7B7"/>
        </bottom>
        <vertical/>
        <horizontal/>
      </border>
    </dxf>
    <dxf>
      <alignment horizontal="general" vertical="top" wrapText="1"/>
      <border>
        <left style="thin">
          <color rgb="FFB7B7B7"/>
        </left>
        <right style="thin">
          <color rgb="FFB7B7B7"/>
        </right>
        <top style="thin">
          <color rgb="FFB7B7B7"/>
        </top>
        <bottom style="thin">
          <color rgb="FFB7B7B7"/>
        </bottom>
        <vertical/>
        <horizontal/>
      </border>
    </dxf>
    <dxf>
      <font>
        <b/>
        <strike val="0"/>
        <condense val="0"/>
        <extend val="0"/>
        <outline val="0"/>
        <shadow val="0"/>
        <vertAlign val="baseline"/>
        <sz val="11"/>
        <color rgb="FF000000"/>
        <name val="Calibri"/>
        <family val="2"/>
      </font>
      <alignment horizontal="general" vertical="top"/>
    </dxf>
    <dxf>
      <border outline="0">
        <left style="thin">
          <color rgb="FFB7B7B7"/>
        </left>
      </border>
    </dxf>
    <dxf>
      <numFmt numFmtId="2" formatCode="0.00"/>
    </dxf>
    <dxf>
      <alignment horizontal="general" vertical="center" textRotation="0"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endParaRPr lang="fr-FR"/>
          </a:p>
        </c:rich>
      </c:tx>
      <c:overlay val="0"/>
      <c:spPr>
        <a:noFill/>
        <a:ln>
          <a:noFill/>
          <a:prstDash val="solid"/>
        </a:ln>
      </c:spPr>
    </c:title>
    <c:autoTitleDeleted val="0"/>
    <c:plotArea>
      <c:layout/>
      <c:radarChart>
        <c:radarStyle val="marker"/>
        <c:varyColors val="0"/>
        <c:ser>
          <c:idx val="0"/>
          <c:order val="0"/>
          <c:tx>
            <c:strRef>
              <c:f>CalculAxes!$B$2</c:f>
              <c:strCache>
                <c:ptCount val="1"/>
                <c:pt idx="0">
                  <c:v>EntrepriseA</c:v>
                </c:pt>
              </c:strCache>
            </c:strRef>
          </c:tx>
          <c:spPr>
            <a:ln w="28575" cap="rnd">
              <a:solidFill>
                <a:schemeClr val="accent1"/>
              </a:solidFill>
              <a:prstDash val="solid"/>
              <a:round/>
            </a:ln>
          </c:spPr>
          <c:marker>
            <c:symbol val="none"/>
          </c:marker>
          <c:cat>
            <c:strRef>
              <c:f>CalculAxes!$C$1:$G$1</c:f>
              <c:strCache>
                <c:ptCount val="5"/>
                <c:pt idx="0">
                  <c:v>Potentiel</c:v>
                </c:pt>
                <c:pt idx="1">
                  <c:v>Stratégie</c:v>
                </c:pt>
                <c:pt idx="2">
                  <c:v>Culture</c:v>
                </c:pt>
                <c:pt idx="3">
                  <c:v>Compétences</c:v>
                </c:pt>
                <c:pt idx="4">
                  <c:v>Gouvernance</c:v>
                </c:pt>
              </c:strCache>
            </c:strRef>
          </c:cat>
          <c:val>
            <c:numRef>
              <c:f>CalculAxes!$C$2:$G$2</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0-851A-5D4A-A3C7-6C2323A452E2}"/>
            </c:ext>
          </c:extLst>
        </c:ser>
        <c:ser>
          <c:idx val="1"/>
          <c:order val="1"/>
          <c:tx>
            <c:strRef>
              <c:f>CalculAxes!$B$3</c:f>
              <c:strCache>
                <c:ptCount val="1"/>
                <c:pt idx="0">
                  <c:v>EntrepriseB</c:v>
                </c:pt>
              </c:strCache>
            </c:strRef>
          </c:tx>
          <c:spPr>
            <a:ln w="28575" cap="rnd">
              <a:solidFill>
                <a:schemeClr val="accent2"/>
              </a:solidFill>
              <a:prstDash val="solid"/>
              <a:round/>
            </a:ln>
          </c:spPr>
          <c:marker>
            <c:symbol val="none"/>
          </c:marker>
          <c:cat>
            <c:strRef>
              <c:f>CalculAxes!$C$1:$G$1</c:f>
              <c:strCache>
                <c:ptCount val="5"/>
                <c:pt idx="0">
                  <c:v>Potentiel</c:v>
                </c:pt>
                <c:pt idx="1">
                  <c:v>Stratégie</c:v>
                </c:pt>
                <c:pt idx="2">
                  <c:v>Culture</c:v>
                </c:pt>
                <c:pt idx="3">
                  <c:v>Compétences</c:v>
                </c:pt>
                <c:pt idx="4">
                  <c:v>Gouvernance</c:v>
                </c:pt>
              </c:strCache>
            </c:strRef>
          </c:cat>
          <c:val>
            <c:numRef>
              <c:f>CalculAxes!$C$3:$G$3</c:f>
              <c:numCache>
                <c:formatCode>0.00</c:formatCode>
                <c:ptCount val="5"/>
                <c:pt idx="0">
                  <c:v>3.3333333333333335</c:v>
                </c:pt>
                <c:pt idx="1">
                  <c:v>3.3333333333333335</c:v>
                </c:pt>
                <c:pt idx="2">
                  <c:v>2.6666666666666665</c:v>
                </c:pt>
                <c:pt idx="3">
                  <c:v>2</c:v>
                </c:pt>
                <c:pt idx="4">
                  <c:v>1</c:v>
                </c:pt>
              </c:numCache>
            </c:numRef>
          </c:val>
          <c:extLst>
            <c:ext xmlns:c16="http://schemas.microsoft.com/office/drawing/2014/chart" uri="{C3380CC4-5D6E-409C-BE32-E72D297353CC}">
              <c16:uniqueId val="{00000001-851A-5D4A-A3C7-6C2323A452E2}"/>
            </c:ext>
          </c:extLst>
        </c:ser>
        <c:ser>
          <c:idx val="2"/>
          <c:order val="2"/>
          <c:tx>
            <c:strRef>
              <c:f>CalculAxes!$B$4</c:f>
              <c:strCache>
                <c:ptCount val="1"/>
                <c:pt idx="0">
                  <c:v>EntrepriseC</c:v>
                </c:pt>
              </c:strCache>
            </c:strRef>
          </c:tx>
          <c:spPr>
            <a:ln w="28575" cap="rnd">
              <a:solidFill>
                <a:schemeClr val="accent1"/>
              </a:solidFill>
              <a:prstDash val="solid"/>
              <a:round/>
            </a:ln>
          </c:spPr>
          <c:marker>
            <c:symbol val="none"/>
          </c:marker>
          <c:cat>
            <c:strRef>
              <c:f>CalculAxes!$C$1:$G$1</c:f>
              <c:strCache>
                <c:ptCount val="5"/>
                <c:pt idx="0">
                  <c:v>Potentiel</c:v>
                </c:pt>
                <c:pt idx="1">
                  <c:v>Stratégie</c:v>
                </c:pt>
                <c:pt idx="2">
                  <c:v>Culture</c:v>
                </c:pt>
                <c:pt idx="3">
                  <c:v>Compétences</c:v>
                </c:pt>
                <c:pt idx="4">
                  <c:v>Gouvernance</c:v>
                </c:pt>
              </c:strCache>
            </c:strRef>
          </c:cat>
          <c:val>
            <c:numRef>
              <c:f>CalculAxes!$C$4:$G$4</c:f>
              <c:numCache>
                <c:formatCode>0.00</c:formatCode>
                <c:ptCount val="5"/>
                <c:pt idx="0">
                  <c:v>5</c:v>
                </c:pt>
                <c:pt idx="1">
                  <c:v>4.333333333333333</c:v>
                </c:pt>
                <c:pt idx="2">
                  <c:v>2</c:v>
                </c:pt>
                <c:pt idx="3">
                  <c:v>2</c:v>
                </c:pt>
                <c:pt idx="4">
                  <c:v>1</c:v>
                </c:pt>
              </c:numCache>
            </c:numRef>
          </c:val>
          <c:extLst>
            <c:ext xmlns:c16="http://schemas.microsoft.com/office/drawing/2014/chart" uri="{C3380CC4-5D6E-409C-BE32-E72D297353CC}">
              <c16:uniqueId val="{00000002-851A-5D4A-A3C7-6C2323A452E2}"/>
            </c:ext>
          </c:extLst>
        </c:ser>
        <c:ser>
          <c:idx val="3"/>
          <c:order val="3"/>
          <c:tx>
            <c:strRef>
              <c:f>CalculAxes!$B$5</c:f>
              <c:strCache>
                <c:ptCount val="1"/>
                <c:pt idx="0">
                  <c:v>EntrepriseD</c:v>
                </c:pt>
              </c:strCache>
            </c:strRef>
          </c:tx>
          <c:spPr>
            <a:ln w="28575" cap="rnd">
              <a:solidFill>
                <a:schemeClr val="accent4"/>
              </a:solidFill>
              <a:prstDash val="solid"/>
              <a:round/>
            </a:ln>
          </c:spPr>
          <c:marker>
            <c:symbol val="none"/>
          </c:marker>
          <c:cat>
            <c:strRef>
              <c:f>CalculAxes!$C$1:$G$1</c:f>
              <c:strCache>
                <c:ptCount val="5"/>
                <c:pt idx="0">
                  <c:v>Potentiel</c:v>
                </c:pt>
                <c:pt idx="1">
                  <c:v>Stratégie</c:v>
                </c:pt>
                <c:pt idx="2">
                  <c:v>Culture</c:v>
                </c:pt>
                <c:pt idx="3">
                  <c:v>Compétences</c:v>
                </c:pt>
                <c:pt idx="4">
                  <c:v>Gouvernance</c:v>
                </c:pt>
              </c:strCache>
            </c:strRef>
          </c:cat>
          <c:val>
            <c:numRef>
              <c:f>CalculAxes!$C$5:$G$5</c:f>
              <c:numCache>
                <c:formatCode>0.00</c:formatCode>
                <c:ptCount val="5"/>
                <c:pt idx="0">
                  <c:v>1</c:v>
                </c:pt>
                <c:pt idx="1">
                  <c:v>2.3333333333333335</c:v>
                </c:pt>
                <c:pt idx="2">
                  <c:v>0.33333333333333331</c:v>
                </c:pt>
                <c:pt idx="3">
                  <c:v>4.333333333333333</c:v>
                </c:pt>
                <c:pt idx="4">
                  <c:v>2</c:v>
                </c:pt>
              </c:numCache>
            </c:numRef>
          </c:val>
          <c:extLst>
            <c:ext xmlns:c16="http://schemas.microsoft.com/office/drawing/2014/chart" uri="{C3380CC4-5D6E-409C-BE32-E72D297353CC}">
              <c16:uniqueId val="{00000003-851A-5D4A-A3C7-6C2323A452E2}"/>
            </c:ext>
          </c:extLst>
        </c:ser>
        <c:ser>
          <c:idx val="4"/>
          <c:order val="4"/>
          <c:tx>
            <c:strRef>
              <c:f>CalculAxes!$B$6</c:f>
              <c:strCache>
                <c:ptCount val="1"/>
                <c:pt idx="0">
                  <c:v>EntrepriseE</c:v>
                </c:pt>
              </c:strCache>
            </c:strRef>
          </c:tx>
          <c:marker>
            <c:symbol val="none"/>
          </c:marker>
          <c:cat>
            <c:strRef>
              <c:f>CalculAxes!$C$1:$G$1</c:f>
              <c:strCache>
                <c:ptCount val="5"/>
                <c:pt idx="0">
                  <c:v>Potentiel</c:v>
                </c:pt>
                <c:pt idx="1">
                  <c:v>Stratégie</c:v>
                </c:pt>
                <c:pt idx="2">
                  <c:v>Culture</c:v>
                </c:pt>
                <c:pt idx="3">
                  <c:v>Compétences</c:v>
                </c:pt>
                <c:pt idx="4">
                  <c:v>Gouvernance</c:v>
                </c:pt>
              </c:strCache>
            </c:strRef>
          </c:cat>
          <c:val>
            <c:numRef>
              <c:f>CalculAxes!$C$6:$G$6</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95BA-DA40-816C-2EBF5981B7B5}"/>
            </c:ext>
          </c:extLst>
        </c:ser>
        <c:dLbls>
          <c:showLegendKey val="0"/>
          <c:showVal val="0"/>
          <c:showCatName val="0"/>
          <c:showSerName val="0"/>
          <c:showPercent val="0"/>
          <c:showBubbleSize val="0"/>
        </c:dLbls>
        <c:axId val="1057041855"/>
        <c:axId val="1057072367"/>
      </c:radarChart>
      <c:catAx>
        <c:axId val="1057041855"/>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57072367"/>
        <c:crosses val="autoZero"/>
        <c:auto val="1"/>
        <c:lblAlgn val="ctr"/>
        <c:lblOffset val="100"/>
        <c:noMultiLvlLbl val="0"/>
      </c:catAx>
      <c:valAx>
        <c:axId val="1057072367"/>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057041855"/>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endParaRPr lang="fr-FR"/>
          </a:p>
        </c:rich>
      </c:tx>
      <c:overlay val="0"/>
      <c:spPr>
        <a:noFill/>
        <a:ln>
          <a:noFill/>
          <a:prstDash val="solid"/>
        </a:ln>
      </c:spPr>
    </c:title>
    <c:autoTitleDeleted val="0"/>
    <c:plotArea>
      <c:layout/>
      <c:barChart>
        <c:barDir val="col"/>
        <c:grouping val="clustered"/>
        <c:varyColors val="0"/>
        <c:ser>
          <c:idx val="0"/>
          <c:order val="0"/>
          <c:tx>
            <c:strRef>
              <c:f>CalculAxes!$C$24</c:f>
              <c:strCache>
                <c:ptCount val="1"/>
                <c:pt idx="0">
                  <c:v>Emergence</c:v>
                </c:pt>
              </c:strCache>
            </c:strRef>
          </c:tx>
          <c:spPr>
            <a:solidFill>
              <a:schemeClr val="accent1"/>
            </a:solidFill>
            <a:ln>
              <a:noFill/>
              <a:prstDash val="solid"/>
            </a:ln>
          </c:spPr>
          <c:invertIfNegative val="0"/>
          <c:cat>
            <c:strRef>
              <c:f>CalculAxes!$B$25:$B$29</c:f>
              <c:strCache>
                <c:ptCount val="5"/>
                <c:pt idx="0">
                  <c:v>EntrepriseA</c:v>
                </c:pt>
                <c:pt idx="1">
                  <c:v>EntrepriseB</c:v>
                </c:pt>
                <c:pt idx="2">
                  <c:v>EntrepriseC</c:v>
                </c:pt>
                <c:pt idx="3">
                  <c:v>EntrepriseD</c:v>
                </c:pt>
                <c:pt idx="4">
                  <c:v>EntrepriseE</c:v>
                </c:pt>
              </c:strCache>
            </c:strRef>
          </c:cat>
          <c:val>
            <c:numRef>
              <c:f>CalculAxes!$C$25:$C$29</c:f>
              <c:numCache>
                <c:formatCode>0.00</c:formatCode>
                <c:ptCount val="5"/>
                <c:pt idx="0">
                  <c:v>1</c:v>
                </c:pt>
                <c:pt idx="1">
                  <c:v>3</c:v>
                </c:pt>
                <c:pt idx="2">
                  <c:v>3.2</c:v>
                </c:pt>
                <c:pt idx="3">
                  <c:v>1.8</c:v>
                </c:pt>
                <c:pt idx="4">
                  <c:v>0</c:v>
                </c:pt>
              </c:numCache>
            </c:numRef>
          </c:val>
          <c:extLst>
            <c:ext xmlns:c16="http://schemas.microsoft.com/office/drawing/2014/chart" uri="{C3380CC4-5D6E-409C-BE32-E72D297353CC}">
              <c16:uniqueId val="{00000000-98E6-A24C-83C7-160B7B0D9D58}"/>
            </c:ext>
          </c:extLst>
        </c:ser>
        <c:ser>
          <c:idx val="1"/>
          <c:order val="1"/>
          <c:tx>
            <c:strRef>
              <c:f>CalculAxes!$D$24</c:f>
              <c:strCache>
                <c:ptCount val="1"/>
                <c:pt idx="0">
                  <c:v>Structuration</c:v>
                </c:pt>
              </c:strCache>
            </c:strRef>
          </c:tx>
          <c:spPr>
            <a:solidFill>
              <a:schemeClr val="accent2"/>
            </a:solidFill>
            <a:ln>
              <a:noFill/>
              <a:prstDash val="solid"/>
            </a:ln>
          </c:spPr>
          <c:invertIfNegative val="0"/>
          <c:cat>
            <c:strRef>
              <c:f>CalculAxes!$B$25:$B$29</c:f>
              <c:strCache>
                <c:ptCount val="5"/>
                <c:pt idx="0">
                  <c:v>EntrepriseA</c:v>
                </c:pt>
                <c:pt idx="1">
                  <c:v>EntrepriseB</c:v>
                </c:pt>
                <c:pt idx="2">
                  <c:v>EntrepriseC</c:v>
                </c:pt>
                <c:pt idx="3">
                  <c:v>EntrepriseD</c:v>
                </c:pt>
                <c:pt idx="4">
                  <c:v>EntrepriseE</c:v>
                </c:pt>
              </c:strCache>
            </c:strRef>
          </c:cat>
          <c:val>
            <c:numRef>
              <c:f>CalculAxes!$D$25:$D$29</c:f>
              <c:numCache>
                <c:formatCode>0.00</c:formatCode>
                <c:ptCount val="5"/>
                <c:pt idx="0">
                  <c:v>1</c:v>
                </c:pt>
                <c:pt idx="1">
                  <c:v>2.4</c:v>
                </c:pt>
                <c:pt idx="2">
                  <c:v>3</c:v>
                </c:pt>
                <c:pt idx="3">
                  <c:v>2</c:v>
                </c:pt>
                <c:pt idx="4">
                  <c:v>0</c:v>
                </c:pt>
              </c:numCache>
            </c:numRef>
          </c:val>
          <c:extLst>
            <c:ext xmlns:c16="http://schemas.microsoft.com/office/drawing/2014/chart" uri="{C3380CC4-5D6E-409C-BE32-E72D297353CC}">
              <c16:uniqueId val="{00000001-98E6-A24C-83C7-160B7B0D9D58}"/>
            </c:ext>
          </c:extLst>
        </c:ser>
        <c:ser>
          <c:idx val="2"/>
          <c:order val="2"/>
          <c:tx>
            <c:strRef>
              <c:f>CalculAxes!$E$24</c:f>
              <c:strCache>
                <c:ptCount val="1"/>
                <c:pt idx="0">
                  <c:v>Industrialisation</c:v>
                </c:pt>
              </c:strCache>
            </c:strRef>
          </c:tx>
          <c:spPr>
            <a:solidFill>
              <a:schemeClr val="accent3"/>
            </a:solidFill>
            <a:ln>
              <a:noFill/>
              <a:prstDash val="solid"/>
            </a:ln>
          </c:spPr>
          <c:invertIfNegative val="0"/>
          <c:cat>
            <c:strRef>
              <c:f>CalculAxes!$B$25:$B$29</c:f>
              <c:strCache>
                <c:ptCount val="5"/>
                <c:pt idx="0">
                  <c:v>EntrepriseA</c:v>
                </c:pt>
                <c:pt idx="1">
                  <c:v>EntrepriseB</c:v>
                </c:pt>
                <c:pt idx="2">
                  <c:v>EntrepriseC</c:v>
                </c:pt>
                <c:pt idx="3">
                  <c:v>EntrepriseD</c:v>
                </c:pt>
                <c:pt idx="4">
                  <c:v>EntrepriseE</c:v>
                </c:pt>
              </c:strCache>
            </c:strRef>
          </c:cat>
          <c:val>
            <c:numRef>
              <c:f>CalculAxes!$E$25:$E$29</c:f>
              <c:numCache>
                <c:formatCode>0.00</c:formatCode>
                <c:ptCount val="5"/>
                <c:pt idx="0">
                  <c:v>1</c:v>
                </c:pt>
                <c:pt idx="1">
                  <c:v>2</c:v>
                </c:pt>
                <c:pt idx="2">
                  <c:v>2.4</c:v>
                </c:pt>
                <c:pt idx="3">
                  <c:v>2.2000000000000002</c:v>
                </c:pt>
                <c:pt idx="4">
                  <c:v>0</c:v>
                </c:pt>
              </c:numCache>
            </c:numRef>
          </c:val>
          <c:extLst>
            <c:ext xmlns:c16="http://schemas.microsoft.com/office/drawing/2014/chart" uri="{C3380CC4-5D6E-409C-BE32-E72D297353CC}">
              <c16:uniqueId val="{00000002-98E6-A24C-83C7-160B7B0D9D58}"/>
            </c:ext>
          </c:extLst>
        </c:ser>
        <c:dLbls>
          <c:showLegendKey val="0"/>
          <c:showVal val="0"/>
          <c:showCatName val="0"/>
          <c:showSerName val="0"/>
          <c:showPercent val="0"/>
          <c:showBubbleSize val="0"/>
        </c:dLbls>
        <c:gapWidth val="219"/>
        <c:overlap val="-27"/>
        <c:axId val="1151582143"/>
        <c:axId val="1151876479"/>
      </c:barChart>
      <c:catAx>
        <c:axId val="115158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151876479"/>
        <c:crosses val="autoZero"/>
        <c:auto val="1"/>
        <c:lblAlgn val="ctr"/>
        <c:lblOffset val="100"/>
        <c:noMultiLvlLbl val="0"/>
      </c:catAx>
      <c:valAx>
        <c:axId val="1151876479"/>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15158214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Profil de maturite IA</a:t>
            </a:r>
          </a:p>
        </c:rich>
      </c:tx>
      <c:overlay val="0"/>
    </c:title>
    <c:autoTitleDeleted val="0"/>
    <c:plotArea>
      <c:layout/>
      <c:radarChart>
        <c:radarStyle val="filled"/>
        <c:varyColors val="0"/>
        <c:ser>
          <c:idx val="0"/>
          <c:order val="0"/>
          <c:cat>
            <c:strRef>
              <c:f>_tmp_export!$A$1:$A$5</c:f>
              <c:strCache>
                <c:ptCount val="5"/>
                <c:pt idx="0">
                  <c:v>Potentiel</c:v>
                </c:pt>
                <c:pt idx="1">
                  <c:v>Strategie</c:v>
                </c:pt>
                <c:pt idx="2">
                  <c:v>Culture</c:v>
                </c:pt>
                <c:pt idx="3">
                  <c:v>Competences</c:v>
                </c:pt>
                <c:pt idx="4">
                  <c:v>Gouvernance</c:v>
                </c:pt>
              </c:strCache>
            </c:strRef>
          </c:cat>
          <c:val>
            <c:numRef>
              <c:f>_tmp_export!$B$1:$B$5</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B77E-7441-B78E-C7A1251DD9F4}"/>
            </c:ext>
          </c:extLst>
        </c:ser>
        <c:dLbls>
          <c:showLegendKey val="0"/>
          <c:showVal val="0"/>
          <c:showCatName val="0"/>
          <c:showSerName val="0"/>
          <c:showPercent val="0"/>
          <c:showBubbleSize val="0"/>
        </c:dLbls>
        <c:axId val="313242879"/>
        <c:axId val="283951919"/>
      </c:radarChart>
      <c:catAx>
        <c:axId val="313242879"/>
        <c:scaling>
          <c:orientation val="minMax"/>
        </c:scaling>
        <c:delete val="0"/>
        <c:axPos val="b"/>
        <c:majorGridlines/>
        <c:numFmt formatCode="General" sourceLinked="1"/>
        <c:majorTickMark val="out"/>
        <c:minorTickMark val="none"/>
        <c:tickLblPos val="nextTo"/>
        <c:crossAx val="283951919"/>
        <c:crosses val="autoZero"/>
        <c:auto val="1"/>
        <c:lblAlgn val="ctr"/>
        <c:lblOffset val="100"/>
        <c:noMultiLvlLbl val="0"/>
      </c:catAx>
      <c:valAx>
        <c:axId val="283951919"/>
        <c:scaling>
          <c:orientation val="minMax"/>
          <c:max val="5"/>
          <c:min val="0"/>
        </c:scaling>
        <c:delete val="0"/>
        <c:axPos val="l"/>
        <c:majorGridlines/>
        <c:numFmt formatCode="General" sourceLinked="1"/>
        <c:majorTickMark val="out"/>
        <c:minorTickMark val="none"/>
        <c:tickLblPos val="nextTo"/>
        <c:crossAx val="313242879"/>
        <c:crosses val="autoZero"/>
        <c:crossBetween val="between"/>
        <c:majorUnit val="1"/>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Profil de maturite IA</a:t>
            </a:r>
          </a:p>
        </c:rich>
      </c:tx>
      <c:overlay val="0"/>
    </c:title>
    <c:autoTitleDeleted val="0"/>
    <c:plotArea>
      <c:layout/>
      <c:radarChart>
        <c:radarStyle val="filled"/>
        <c:varyColors val="0"/>
        <c:ser>
          <c:idx val="0"/>
          <c:order val="0"/>
          <c:cat>
            <c:strRef>
              <c:f>_tmp_export_103005!$A$1:$A$5</c:f>
              <c:strCache>
                <c:ptCount val="5"/>
                <c:pt idx="0">
                  <c:v>Potentiel</c:v>
                </c:pt>
                <c:pt idx="1">
                  <c:v>Strategie</c:v>
                </c:pt>
                <c:pt idx="2">
                  <c:v>Culture</c:v>
                </c:pt>
                <c:pt idx="3">
                  <c:v>Competences</c:v>
                </c:pt>
                <c:pt idx="4">
                  <c:v>Gouvernance</c:v>
                </c:pt>
              </c:strCache>
            </c:strRef>
          </c:cat>
          <c:val>
            <c:numRef>
              <c:f>_tmp_export_103005!$B$1:$B$5</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0C1D-8B40-B9EE-E74ADFBA240D}"/>
            </c:ext>
          </c:extLst>
        </c:ser>
        <c:dLbls>
          <c:showLegendKey val="0"/>
          <c:showVal val="0"/>
          <c:showCatName val="0"/>
          <c:showSerName val="0"/>
          <c:showPercent val="0"/>
          <c:showBubbleSize val="0"/>
        </c:dLbls>
        <c:axId val="294163167"/>
        <c:axId val="317764319"/>
      </c:radarChart>
      <c:catAx>
        <c:axId val="294163167"/>
        <c:scaling>
          <c:orientation val="minMax"/>
        </c:scaling>
        <c:delete val="0"/>
        <c:axPos val="b"/>
        <c:majorGridlines/>
        <c:numFmt formatCode="General" sourceLinked="1"/>
        <c:majorTickMark val="out"/>
        <c:minorTickMark val="none"/>
        <c:tickLblPos val="nextTo"/>
        <c:crossAx val="317764319"/>
        <c:crosses val="autoZero"/>
        <c:auto val="1"/>
        <c:lblAlgn val="ctr"/>
        <c:lblOffset val="100"/>
        <c:noMultiLvlLbl val="0"/>
      </c:catAx>
      <c:valAx>
        <c:axId val="317764319"/>
        <c:scaling>
          <c:orientation val="minMax"/>
          <c:max val="5"/>
          <c:min val="0"/>
        </c:scaling>
        <c:delete val="0"/>
        <c:axPos val="l"/>
        <c:majorGridlines/>
        <c:numFmt formatCode="General" sourceLinked="1"/>
        <c:majorTickMark val="out"/>
        <c:minorTickMark val="none"/>
        <c:tickLblPos val="nextTo"/>
        <c:crossAx val="294163167"/>
        <c:crosses val="autoZero"/>
        <c:crossBetween val="between"/>
        <c:majorUnit val="1"/>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Profil de maturite IA</a:t>
            </a:r>
          </a:p>
        </c:rich>
      </c:tx>
      <c:overlay val="0"/>
    </c:title>
    <c:autoTitleDeleted val="0"/>
    <c:plotArea>
      <c:layout/>
      <c:radarChart>
        <c:radarStyle val="filled"/>
        <c:varyColors val="0"/>
        <c:ser>
          <c:idx val="0"/>
          <c:order val="0"/>
          <c:cat>
            <c:strRef>
              <c:f>_tmp_export_162014!$A$1:$A$5</c:f>
              <c:strCache>
                <c:ptCount val="5"/>
                <c:pt idx="0">
                  <c:v>Potentiel</c:v>
                </c:pt>
                <c:pt idx="1">
                  <c:v>Strategie</c:v>
                </c:pt>
                <c:pt idx="2">
                  <c:v>Culture</c:v>
                </c:pt>
                <c:pt idx="3">
                  <c:v>Competences</c:v>
                </c:pt>
                <c:pt idx="4">
                  <c:v>Gouvernance</c:v>
                </c:pt>
              </c:strCache>
            </c:strRef>
          </c:cat>
          <c:val>
            <c:numRef>
              <c:f>_tmp_export_162014!$B$1:$B$5</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833D-F24B-9C2E-052717F3F938}"/>
            </c:ext>
          </c:extLst>
        </c:ser>
        <c:dLbls>
          <c:showLegendKey val="0"/>
          <c:showVal val="0"/>
          <c:showCatName val="0"/>
          <c:showSerName val="0"/>
          <c:showPercent val="0"/>
          <c:showBubbleSize val="0"/>
        </c:dLbls>
        <c:axId val="1069672384"/>
        <c:axId val="1318837136"/>
      </c:radarChart>
      <c:catAx>
        <c:axId val="1069672384"/>
        <c:scaling>
          <c:orientation val="minMax"/>
        </c:scaling>
        <c:delete val="0"/>
        <c:axPos val="b"/>
        <c:majorGridlines/>
        <c:numFmt formatCode="General" sourceLinked="1"/>
        <c:majorTickMark val="out"/>
        <c:minorTickMark val="none"/>
        <c:tickLblPos val="nextTo"/>
        <c:crossAx val="1318837136"/>
        <c:crosses val="autoZero"/>
        <c:auto val="1"/>
        <c:lblAlgn val="ctr"/>
        <c:lblOffset val="100"/>
        <c:noMultiLvlLbl val="0"/>
      </c:catAx>
      <c:valAx>
        <c:axId val="1318837136"/>
        <c:scaling>
          <c:orientation val="minMax"/>
          <c:max val="5"/>
          <c:min val="0"/>
        </c:scaling>
        <c:delete val="0"/>
        <c:axPos val="l"/>
        <c:majorGridlines/>
        <c:numFmt formatCode="General" sourceLinked="1"/>
        <c:majorTickMark val="out"/>
        <c:minorTickMark val="none"/>
        <c:tickLblPos val="nextTo"/>
        <c:crossAx val="1069672384"/>
        <c:crosses val="autoZero"/>
        <c:crossBetween val="between"/>
        <c:majorUnit val="1"/>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Profil de maturite IA</a:t>
            </a:r>
          </a:p>
        </c:rich>
      </c:tx>
      <c:overlay val="0"/>
    </c:title>
    <c:autoTitleDeleted val="0"/>
    <c:plotArea>
      <c:layout/>
      <c:radarChart>
        <c:radarStyle val="filled"/>
        <c:varyColors val="0"/>
        <c:ser>
          <c:idx val="0"/>
          <c:order val="0"/>
          <c:cat>
            <c:strRef>
              <c:f>_tmp_export_162057!$A$1:$A$5</c:f>
              <c:strCache>
                <c:ptCount val="5"/>
                <c:pt idx="0">
                  <c:v>Potentiel</c:v>
                </c:pt>
                <c:pt idx="1">
                  <c:v>Strategie</c:v>
                </c:pt>
                <c:pt idx="2">
                  <c:v>Culture</c:v>
                </c:pt>
                <c:pt idx="3">
                  <c:v>Competences</c:v>
                </c:pt>
                <c:pt idx="4">
                  <c:v>Gouvernance</c:v>
                </c:pt>
              </c:strCache>
            </c:strRef>
          </c:cat>
          <c:val>
            <c:numRef>
              <c:f>_tmp_export_162057!$B$1:$B$5</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9CFE-A740-A8B8-7ACF8D3A8640}"/>
            </c:ext>
          </c:extLst>
        </c:ser>
        <c:dLbls>
          <c:showLegendKey val="0"/>
          <c:showVal val="0"/>
          <c:showCatName val="0"/>
          <c:showSerName val="0"/>
          <c:showPercent val="0"/>
          <c:showBubbleSize val="0"/>
        </c:dLbls>
        <c:axId val="1041098608"/>
        <c:axId val="1232955104"/>
      </c:radarChart>
      <c:catAx>
        <c:axId val="1041098608"/>
        <c:scaling>
          <c:orientation val="minMax"/>
        </c:scaling>
        <c:delete val="0"/>
        <c:axPos val="b"/>
        <c:majorGridlines/>
        <c:numFmt formatCode="General" sourceLinked="1"/>
        <c:majorTickMark val="out"/>
        <c:minorTickMark val="none"/>
        <c:tickLblPos val="nextTo"/>
        <c:crossAx val="1232955104"/>
        <c:crosses val="autoZero"/>
        <c:auto val="1"/>
        <c:lblAlgn val="ctr"/>
        <c:lblOffset val="100"/>
        <c:noMultiLvlLbl val="0"/>
      </c:catAx>
      <c:valAx>
        <c:axId val="1232955104"/>
        <c:scaling>
          <c:orientation val="minMax"/>
          <c:max val="5"/>
          <c:min val="0"/>
        </c:scaling>
        <c:delete val="0"/>
        <c:axPos val="l"/>
        <c:majorGridlines/>
        <c:numFmt formatCode="General" sourceLinked="1"/>
        <c:majorTickMark val="out"/>
        <c:minorTickMark val="none"/>
        <c:tickLblPos val="nextTo"/>
        <c:crossAx val="1041098608"/>
        <c:crosses val="autoZero"/>
        <c:crossBetween val="between"/>
        <c:majorUnit val="1"/>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endParaRPr lang="fr-FR"/>
          </a:p>
        </c:rich>
      </c:tx>
      <c:overlay val="0"/>
      <c:spPr>
        <a:noFill/>
        <a:ln>
          <a:noFill/>
          <a:prstDash val="solid"/>
        </a:ln>
      </c:spPr>
    </c:title>
    <c:autoTitleDeleted val="0"/>
    <c:plotArea>
      <c:layout/>
      <c:radarChart>
        <c:radarStyle val="marker"/>
        <c:varyColors val="0"/>
        <c:ser>
          <c:idx val="0"/>
          <c:order val="0"/>
          <c:tx>
            <c:strRef>
              <c:f>MatriceEntreprise!$H$1</c:f>
              <c:strCache>
                <c:ptCount val="1"/>
                <c:pt idx="0">
                  <c:v>EntrepriseE</c:v>
                </c:pt>
              </c:strCache>
            </c:strRef>
          </c:tx>
          <c:spPr>
            <a:ln w="28575" cap="rnd">
              <a:solidFill>
                <a:schemeClr val="accent1"/>
              </a:solidFill>
              <a:prstDash val="solid"/>
              <a:round/>
            </a:ln>
          </c:spPr>
          <c:marker>
            <c:symbol val="none"/>
          </c:marker>
          <c:cat>
            <c:strRef>
              <c:f>MatriceEntreprise!$B$1:$F$1</c:f>
              <c:strCache>
                <c:ptCount val="5"/>
                <c:pt idx="0">
                  <c:v>Potentiel</c:v>
                </c:pt>
                <c:pt idx="1">
                  <c:v>Stratégie</c:v>
                </c:pt>
                <c:pt idx="2">
                  <c:v>Culture</c:v>
                </c:pt>
                <c:pt idx="3">
                  <c:v>Compétences</c:v>
                </c:pt>
                <c:pt idx="4">
                  <c:v>Gouvernance</c:v>
                </c:pt>
              </c:strCache>
            </c:strRef>
          </c:cat>
          <c:val>
            <c:numRef>
              <c:f>MatriceEntreprise!$B$5:$F$5</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979F-7E41-875E-FA23A8D487AC}"/>
            </c:ext>
          </c:extLst>
        </c:ser>
        <c:dLbls>
          <c:showLegendKey val="0"/>
          <c:showVal val="0"/>
          <c:showCatName val="0"/>
          <c:showSerName val="0"/>
          <c:showPercent val="0"/>
          <c:showBubbleSize val="0"/>
        </c:dLbls>
        <c:axId val="1266140735"/>
        <c:axId val="1320898671"/>
      </c:radarChart>
      <c:catAx>
        <c:axId val="126614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320898671"/>
        <c:crosses val="autoZero"/>
        <c:auto val="1"/>
        <c:lblAlgn val="ctr"/>
        <c:lblOffset val="100"/>
        <c:noMultiLvlLbl val="0"/>
      </c:catAx>
      <c:valAx>
        <c:axId val="132089867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266140735"/>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fr-FR"/>
              <a:t>MATURITE</a:t>
            </a:r>
          </a:p>
        </c:rich>
      </c:tx>
      <c:overlay val="0"/>
      <c:spPr>
        <a:noFill/>
        <a:ln>
          <a:noFill/>
          <a:prstDash val="solid"/>
        </a:ln>
      </c:spPr>
    </c:title>
    <c:autoTitleDeleted val="0"/>
    <c:plotArea>
      <c:layout/>
      <c:barChart>
        <c:barDir val="col"/>
        <c:grouping val="clustered"/>
        <c:varyColors val="0"/>
        <c:ser>
          <c:idx val="0"/>
          <c:order val="0"/>
          <c:spPr>
            <a:solidFill>
              <a:schemeClr val="accent1"/>
            </a:solidFill>
            <a:ln>
              <a:noFill/>
              <a:prstDash val="solid"/>
            </a:ln>
          </c:spPr>
          <c:invertIfNegative val="0"/>
          <c:cat>
            <c:strRef>
              <c:f>MatriceEntreprise!$A$2:$A$4</c:f>
              <c:strCache>
                <c:ptCount val="3"/>
                <c:pt idx="0">
                  <c:v>Émergence</c:v>
                </c:pt>
                <c:pt idx="1">
                  <c:v>Structuration</c:v>
                </c:pt>
                <c:pt idx="2">
                  <c:v>Industrialisation</c:v>
                </c:pt>
              </c:strCache>
            </c:strRef>
          </c:cat>
          <c:val>
            <c:numRef>
              <c:f>MatriceEntreprise!$G$2:$G$4</c:f>
              <c:numCache>
                <c:formatCode>0.00</c:formatCode>
                <c:ptCount val="3"/>
                <c:pt idx="0">
                  <c:v>0</c:v>
                </c:pt>
                <c:pt idx="1">
                  <c:v>0</c:v>
                </c:pt>
                <c:pt idx="2">
                  <c:v>0</c:v>
                </c:pt>
              </c:numCache>
            </c:numRef>
          </c:val>
          <c:extLst>
            <c:ext xmlns:c16="http://schemas.microsoft.com/office/drawing/2014/chart" uri="{C3380CC4-5D6E-409C-BE32-E72D297353CC}">
              <c16:uniqueId val="{00000000-A980-E346-8434-0E2B637B308E}"/>
            </c:ext>
          </c:extLst>
        </c:ser>
        <c:dLbls>
          <c:showLegendKey val="0"/>
          <c:showVal val="0"/>
          <c:showCatName val="0"/>
          <c:showSerName val="0"/>
          <c:showPercent val="0"/>
          <c:showBubbleSize val="0"/>
        </c:dLbls>
        <c:gapWidth val="219"/>
        <c:overlap val="-27"/>
        <c:axId val="1339567839"/>
        <c:axId val="1339569551"/>
      </c:barChart>
      <c:catAx>
        <c:axId val="133956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339569551"/>
        <c:crosses val="autoZero"/>
        <c:auto val="1"/>
        <c:lblAlgn val="ctr"/>
        <c:lblOffset val="100"/>
        <c:noMultiLvlLbl val="0"/>
      </c:catAx>
      <c:valAx>
        <c:axId val="133956955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fr-FR"/>
          </a:p>
        </c:txPr>
        <c:crossAx val="1339567839"/>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Score détaillé par axes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MatriceEntreprise!$O$1</c:f>
              <c:strCache>
                <c:ptCount val="1"/>
                <c:pt idx="0">
                  <c:v>Émergence</c:v>
                </c:pt>
              </c:strCache>
            </c:strRef>
          </c:tx>
          <c:spPr>
            <a:solidFill>
              <a:schemeClr val="accent1"/>
            </a:solidFill>
            <a:ln>
              <a:noFill/>
            </a:ln>
            <a:effectLst/>
          </c:spPr>
          <c:invertIfNegative val="0"/>
          <c:cat>
            <c:strRef>
              <c:f>MatriceEntreprise!$N$2:$N$6</c:f>
              <c:strCache>
                <c:ptCount val="5"/>
                <c:pt idx="0">
                  <c:v>Potentiel</c:v>
                </c:pt>
                <c:pt idx="1">
                  <c:v>Stratégie</c:v>
                </c:pt>
                <c:pt idx="2">
                  <c:v>Culture</c:v>
                </c:pt>
                <c:pt idx="3">
                  <c:v>Compétences</c:v>
                </c:pt>
                <c:pt idx="4">
                  <c:v>Gouvernance</c:v>
                </c:pt>
              </c:strCache>
            </c:strRef>
          </c:cat>
          <c:val>
            <c:numRef>
              <c:f>MatriceEntreprise!$O$2:$O$6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CC7C-7F42-95A7-B911DC82560F}"/>
            </c:ext>
          </c:extLst>
        </c:ser>
        <c:ser>
          <c:idx val="1"/>
          <c:order val="1"/>
          <c:tx>
            <c:strRef>
              <c:f>MatriceEntreprise!$P$1</c:f>
              <c:strCache>
                <c:ptCount val="1"/>
                <c:pt idx="0">
                  <c:v>Structuration</c:v>
                </c:pt>
              </c:strCache>
            </c:strRef>
          </c:tx>
          <c:spPr>
            <a:solidFill>
              <a:schemeClr val="accent2"/>
            </a:solidFill>
            <a:ln>
              <a:noFill/>
            </a:ln>
            <a:effectLst/>
          </c:spPr>
          <c:invertIfNegative val="0"/>
          <c:cat>
            <c:strRef>
              <c:f>MatriceEntreprise!$N$2:$N$6</c:f>
              <c:strCache>
                <c:ptCount val="5"/>
                <c:pt idx="0">
                  <c:v>Potentiel</c:v>
                </c:pt>
                <c:pt idx="1">
                  <c:v>Stratégie</c:v>
                </c:pt>
                <c:pt idx="2">
                  <c:v>Culture</c:v>
                </c:pt>
                <c:pt idx="3">
                  <c:v>Compétences</c:v>
                </c:pt>
                <c:pt idx="4">
                  <c:v>Gouvernance</c:v>
                </c:pt>
              </c:strCache>
            </c:strRef>
          </c:cat>
          <c:val>
            <c:numRef>
              <c:f>MatriceEntreprise!$P$2:$P$6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CC7C-7F42-95A7-B911DC82560F}"/>
            </c:ext>
          </c:extLst>
        </c:ser>
        <c:ser>
          <c:idx val="2"/>
          <c:order val="2"/>
          <c:tx>
            <c:strRef>
              <c:f>MatriceEntreprise!$Q$1</c:f>
              <c:strCache>
                <c:ptCount val="1"/>
                <c:pt idx="0">
                  <c:v>Industrialisation</c:v>
                </c:pt>
              </c:strCache>
            </c:strRef>
          </c:tx>
          <c:spPr>
            <a:solidFill>
              <a:schemeClr val="accent3"/>
            </a:solidFill>
            <a:ln>
              <a:noFill/>
            </a:ln>
            <a:effectLst/>
          </c:spPr>
          <c:invertIfNegative val="0"/>
          <c:cat>
            <c:strRef>
              <c:f>MatriceEntreprise!$N$2:$N$6</c:f>
              <c:strCache>
                <c:ptCount val="5"/>
                <c:pt idx="0">
                  <c:v>Potentiel</c:v>
                </c:pt>
                <c:pt idx="1">
                  <c:v>Stratégie</c:v>
                </c:pt>
                <c:pt idx="2">
                  <c:v>Culture</c:v>
                </c:pt>
                <c:pt idx="3">
                  <c:v>Compétences</c:v>
                </c:pt>
                <c:pt idx="4">
                  <c:v>Gouvernance</c:v>
                </c:pt>
              </c:strCache>
            </c:strRef>
          </c:cat>
          <c:val>
            <c:numRef>
              <c:f>MatriceEntreprise!$Q$2:$Q$6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CC7C-7F42-95A7-B911DC82560F}"/>
            </c:ext>
          </c:extLst>
        </c:ser>
        <c:dLbls>
          <c:showLegendKey val="0"/>
          <c:showVal val="0"/>
          <c:showCatName val="0"/>
          <c:showSerName val="0"/>
          <c:showPercent val="0"/>
          <c:showBubbleSize val="0"/>
        </c:dLbls>
        <c:gapWidth val="219"/>
        <c:overlap val="-27"/>
        <c:axId val="219876703"/>
        <c:axId val="224002031"/>
      </c:barChart>
      <c:lineChart>
        <c:grouping val="standard"/>
        <c:varyColors val="0"/>
        <c:ser>
          <c:idx val="3"/>
          <c:order val="3"/>
          <c:tx>
            <c:strRef>
              <c:f>MatriceEntreprise!$R$1</c:f>
              <c:strCache>
                <c:ptCount val="1"/>
                <c:pt idx="0">
                  <c:v>moyenne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MatriceEntreprise!$N$2:$N$6</c:f>
              <c:strCache>
                <c:ptCount val="5"/>
                <c:pt idx="0">
                  <c:v>Potentiel</c:v>
                </c:pt>
                <c:pt idx="1">
                  <c:v>Stratégie</c:v>
                </c:pt>
                <c:pt idx="2">
                  <c:v>Culture</c:v>
                </c:pt>
                <c:pt idx="3">
                  <c:v>Compétences</c:v>
                </c:pt>
                <c:pt idx="4">
                  <c:v>Gouvernance</c:v>
                </c:pt>
              </c:strCache>
            </c:strRef>
          </c:cat>
          <c:val>
            <c:numRef>
              <c:f>MatriceEntreprise!$R$2:$R$6</c:f>
              <c:numCache>
                <c:formatCode>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3-CC7C-7F42-95A7-B911DC82560F}"/>
            </c:ext>
          </c:extLst>
        </c:ser>
        <c:dLbls>
          <c:showLegendKey val="0"/>
          <c:showVal val="0"/>
          <c:showCatName val="0"/>
          <c:showSerName val="0"/>
          <c:showPercent val="0"/>
          <c:showBubbleSize val="0"/>
        </c:dLbls>
        <c:marker val="1"/>
        <c:smooth val="0"/>
        <c:axId val="219876703"/>
        <c:axId val="224002031"/>
      </c:lineChart>
      <c:catAx>
        <c:axId val="21987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24002031"/>
        <c:crosses val="autoZero"/>
        <c:auto val="1"/>
        <c:lblAlgn val="ctr"/>
        <c:lblOffset val="100"/>
        <c:noMultiLvlLbl val="0"/>
      </c:catAx>
      <c:valAx>
        <c:axId val="22400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19876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3</xdr:col>
      <xdr:colOff>247603</xdr:colOff>
      <xdr:row>4</xdr:row>
      <xdr:rowOff>158147</xdr:rowOff>
    </xdr:from>
    <xdr:to>
      <xdr:col>3</xdr:col>
      <xdr:colOff>1147603</xdr:colOff>
      <xdr:row>4</xdr:row>
      <xdr:rowOff>1058147</xdr:rowOff>
    </xdr:to>
    <xdr:pic>
      <xdr:nvPicPr>
        <xdr:cNvPr id="15" name="Graphique 14" descr="Loupe avec un remplissage uni">
          <a:extLst>
            <a:ext uri="{FF2B5EF4-FFF2-40B4-BE49-F238E27FC236}">
              <a16:creationId xmlns:a16="http://schemas.microsoft.com/office/drawing/2014/main" id="{80052FC2-7D2C-7CE4-1D30-A5C3E8919DD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38844" y="2716687"/>
          <a:ext cx="900000" cy="900000"/>
        </a:xfrm>
        <a:prstGeom prst="rect">
          <a:avLst/>
        </a:prstGeom>
      </xdr:spPr>
    </xdr:pic>
    <xdr:clientData/>
  </xdr:twoCellAnchor>
  <xdr:twoCellAnchor editAs="oneCell">
    <xdr:from>
      <xdr:col>3</xdr:col>
      <xdr:colOff>229433</xdr:colOff>
      <xdr:row>5</xdr:row>
      <xdr:rowOff>85748</xdr:rowOff>
    </xdr:from>
    <xdr:to>
      <xdr:col>3</xdr:col>
      <xdr:colOff>1129433</xdr:colOff>
      <xdr:row>5</xdr:row>
      <xdr:rowOff>985748</xdr:rowOff>
    </xdr:to>
    <xdr:pic>
      <xdr:nvPicPr>
        <xdr:cNvPr id="17" name="Graphique 16" descr="Engrenages avec un remplissage uni">
          <a:extLst>
            <a:ext uri="{FF2B5EF4-FFF2-40B4-BE49-F238E27FC236}">
              <a16:creationId xmlns:a16="http://schemas.microsoft.com/office/drawing/2014/main" id="{1FF00F16-93BE-48D6-4DC1-24ED0AABB1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20674" y="3784507"/>
          <a:ext cx="900000" cy="900000"/>
        </a:xfrm>
        <a:prstGeom prst="rect">
          <a:avLst/>
        </a:prstGeom>
      </xdr:spPr>
    </xdr:pic>
    <xdr:clientData/>
  </xdr:twoCellAnchor>
  <xdr:twoCellAnchor editAs="oneCell">
    <xdr:from>
      <xdr:col>3</xdr:col>
      <xdr:colOff>250384</xdr:colOff>
      <xdr:row>6</xdr:row>
      <xdr:rowOff>86490</xdr:rowOff>
    </xdr:from>
    <xdr:to>
      <xdr:col>3</xdr:col>
      <xdr:colOff>1150384</xdr:colOff>
      <xdr:row>6</xdr:row>
      <xdr:rowOff>986490</xdr:rowOff>
    </xdr:to>
    <xdr:pic>
      <xdr:nvPicPr>
        <xdr:cNvPr id="27" name="Graphique 26" descr="Cerveau droit et gauche avec un remplissage uni">
          <a:extLst>
            <a:ext uri="{FF2B5EF4-FFF2-40B4-BE49-F238E27FC236}">
              <a16:creationId xmlns:a16="http://schemas.microsoft.com/office/drawing/2014/main" id="{A54B93A8-0408-3DC9-4795-5DCA56325EE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41625" y="4925468"/>
          <a:ext cx="900000" cy="900000"/>
        </a:xfrm>
        <a:prstGeom prst="rect">
          <a:avLst/>
        </a:prstGeom>
      </xdr:spPr>
    </xdr:pic>
    <xdr:clientData/>
  </xdr:twoCellAnchor>
  <xdr:twoCellAnchor editAs="oneCell">
    <xdr:from>
      <xdr:col>3</xdr:col>
      <xdr:colOff>178263</xdr:colOff>
      <xdr:row>7</xdr:row>
      <xdr:rowOff>3801</xdr:rowOff>
    </xdr:from>
    <xdr:to>
      <xdr:col>3</xdr:col>
      <xdr:colOff>1078263</xdr:colOff>
      <xdr:row>7</xdr:row>
      <xdr:rowOff>903801</xdr:rowOff>
    </xdr:to>
    <xdr:pic>
      <xdr:nvPicPr>
        <xdr:cNvPr id="29" name="Graphique 28" descr="Compteur moyen avec un remplissage uni">
          <a:extLst>
            <a:ext uri="{FF2B5EF4-FFF2-40B4-BE49-F238E27FC236}">
              <a16:creationId xmlns:a16="http://schemas.microsoft.com/office/drawing/2014/main" id="{7DD33E2B-3550-060E-71EB-12D82679BCA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69504" y="5982998"/>
          <a:ext cx="900000" cy="900000"/>
        </a:xfrm>
        <a:prstGeom prst="rect">
          <a:avLst/>
        </a:prstGeom>
      </xdr:spPr>
    </xdr:pic>
    <xdr:clientData/>
  </xdr:twoCellAnchor>
  <xdr:twoCellAnchor editAs="oneCell">
    <xdr:from>
      <xdr:col>3</xdr:col>
      <xdr:colOff>193372</xdr:colOff>
      <xdr:row>3</xdr:row>
      <xdr:rowOff>90104</xdr:rowOff>
    </xdr:from>
    <xdr:to>
      <xdr:col>3</xdr:col>
      <xdr:colOff>1093372</xdr:colOff>
      <xdr:row>3</xdr:row>
      <xdr:rowOff>990104</xdr:rowOff>
    </xdr:to>
    <xdr:pic>
      <xdr:nvPicPr>
        <xdr:cNvPr id="35" name="Graphique 34" descr="Ampoule avec un remplissage uni">
          <a:extLst>
            <a:ext uri="{FF2B5EF4-FFF2-40B4-BE49-F238E27FC236}">
              <a16:creationId xmlns:a16="http://schemas.microsoft.com/office/drawing/2014/main" id="{6A50D0B7-F04B-FC2B-F099-1AEE816C03C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84613" y="1508425"/>
          <a:ext cx="900000" cy="900000"/>
        </a:xfrm>
        <a:prstGeom prst="rect">
          <a:avLst/>
        </a:prstGeom>
      </xdr:spPr>
    </xdr:pic>
    <xdr:clientData/>
  </xdr:twoCellAnchor>
  <xdr:twoCellAnchor editAs="oneCell">
    <xdr:from>
      <xdr:col>3</xdr:col>
      <xdr:colOff>198843</xdr:colOff>
      <xdr:row>2</xdr:row>
      <xdr:rowOff>96038</xdr:rowOff>
    </xdr:from>
    <xdr:to>
      <xdr:col>3</xdr:col>
      <xdr:colOff>1113243</xdr:colOff>
      <xdr:row>2</xdr:row>
      <xdr:rowOff>1010438</xdr:rowOff>
    </xdr:to>
    <xdr:pic>
      <xdr:nvPicPr>
        <xdr:cNvPr id="4" name="Graphique 3" descr="Commentaire barre oblique silence avec un remplissage uni">
          <a:extLst>
            <a:ext uri="{FF2B5EF4-FFF2-40B4-BE49-F238E27FC236}">
              <a16:creationId xmlns:a16="http://schemas.microsoft.com/office/drawing/2014/main" id="{2FE95511-A7DA-FA50-3755-F08B59777C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390084" y="494651"/>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84666</xdr:colOff>
      <xdr:row>0</xdr:row>
      <xdr:rowOff>50801</xdr:rowOff>
    </xdr:from>
    <xdr:to>
      <xdr:col>18</xdr:col>
      <xdr:colOff>42332</xdr:colOff>
      <xdr:row>28</xdr:row>
      <xdr:rowOff>160867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29633</xdr:colOff>
      <xdr:row>7</xdr:row>
      <xdr:rowOff>182033</xdr:rowOff>
    </xdr:from>
    <xdr:to>
      <xdr:col>8</xdr:col>
      <xdr:colOff>67734</xdr:colOff>
      <xdr:row>22</xdr:row>
      <xdr:rowOff>4233</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508000</xdr:colOff>
      <xdr:row>0</xdr:row>
      <xdr:rowOff>127000</xdr:rowOff>
    </xdr:from>
    <xdr:to>
      <xdr:col>12</xdr:col>
      <xdr:colOff>508000</xdr:colOff>
      <xdr:row>26</xdr:row>
      <xdr:rowOff>0</xdr:rowOff>
    </xdr:to>
    <xdr:graphicFrame macro="">
      <xdr:nvGraphicFramePr>
        <xdr:cNvPr id="2" name="Graphique 1">
          <a:extLst>
            <a:ext uri="{FF2B5EF4-FFF2-40B4-BE49-F238E27FC236}">
              <a16:creationId xmlns:a16="http://schemas.microsoft.com/office/drawing/2014/main" id="{B37AB82C-4D3D-D839-3EFB-54110F33C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508000</xdr:colOff>
      <xdr:row>0</xdr:row>
      <xdr:rowOff>127000</xdr:rowOff>
    </xdr:from>
    <xdr:to>
      <xdr:col>12</xdr:col>
      <xdr:colOff>508000</xdr:colOff>
      <xdr:row>26</xdr:row>
      <xdr:rowOff>0</xdr:rowOff>
    </xdr:to>
    <xdr:graphicFrame macro="">
      <xdr:nvGraphicFramePr>
        <xdr:cNvPr id="2" name="Graphique 1">
          <a:extLst>
            <a:ext uri="{FF2B5EF4-FFF2-40B4-BE49-F238E27FC236}">
              <a16:creationId xmlns:a16="http://schemas.microsoft.com/office/drawing/2014/main" id="{9C088437-687B-72BC-6BE8-0D3B1A730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508000</xdr:colOff>
      <xdr:row>0</xdr:row>
      <xdr:rowOff>127000</xdr:rowOff>
    </xdr:from>
    <xdr:to>
      <xdr:col>12</xdr:col>
      <xdr:colOff>508000</xdr:colOff>
      <xdr:row>26</xdr:row>
      <xdr:rowOff>0</xdr:rowOff>
    </xdr:to>
    <xdr:graphicFrame macro="">
      <xdr:nvGraphicFramePr>
        <xdr:cNvPr id="2" name="Graphique 1">
          <a:extLst>
            <a:ext uri="{FF2B5EF4-FFF2-40B4-BE49-F238E27FC236}">
              <a16:creationId xmlns:a16="http://schemas.microsoft.com/office/drawing/2014/main" id="{DCDB42BF-3C4B-5252-B875-183CD0A76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508000</xdr:colOff>
      <xdr:row>0</xdr:row>
      <xdr:rowOff>127000</xdr:rowOff>
    </xdr:from>
    <xdr:to>
      <xdr:col>12</xdr:col>
      <xdr:colOff>508000</xdr:colOff>
      <xdr:row>26</xdr:row>
      <xdr:rowOff>0</xdr:rowOff>
    </xdr:to>
    <xdr:graphicFrame macro="">
      <xdr:nvGraphicFramePr>
        <xdr:cNvPr id="2" name="Graphique 1">
          <a:extLst>
            <a:ext uri="{FF2B5EF4-FFF2-40B4-BE49-F238E27FC236}">
              <a16:creationId xmlns:a16="http://schemas.microsoft.com/office/drawing/2014/main" id="{DE57C1EB-CCC8-F453-4F19-8EB91E7BC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265240</xdr:colOff>
      <xdr:row>12</xdr:row>
      <xdr:rowOff>123179</xdr:rowOff>
    </xdr:from>
    <xdr:to>
      <xdr:col>4</xdr:col>
      <xdr:colOff>674337</xdr:colOff>
      <xdr:row>15</xdr:row>
      <xdr:rowOff>78672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259620</xdr:colOff>
      <xdr:row>15</xdr:row>
      <xdr:rowOff>134419</xdr:rowOff>
    </xdr:from>
    <xdr:to>
      <xdr:col>4</xdr:col>
      <xdr:colOff>663097</xdr:colOff>
      <xdr:row>18</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560737</xdr:colOff>
      <xdr:row>9</xdr:row>
      <xdr:rowOff>22172</xdr:rowOff>
    </xdr:from>
    <xdr:to>
      <xdr:col>18</xdr:col>
      <xdr:colOff>160364</xdr:colOff>
      <xdr:row>12</xdr:row>
      <xdr:rowOff>2141135</xdr:rowOff>
    </xdr:to>
    <xdr:graphicFrame macro="">
      <xdr:nvGraphicFramePr>
        <xdr:cNvPr id="6" name="Graphique 5">
          <a:extLst>
            <a:ext uri="{FF2B5EF4-FFF2-40B4-BE49-F238E27FC236}">
              <a16:creationId xmlns:a16="http://schemas.microsoft.com/office/drawing/2014/main" id="{F63547E0-83DE-AD1D-8DB9-E4A1BA560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xdr:from>
          <xdr:col>7</xdr:col>
          <xdr:colOff>190500</xdr:colOff>
          <xdr:row>2</xdr:row>
          <xdr:rowOff>88900</xdr:rowOff>
        </xdr:from>
        <xdr:to>
          <xdr:col>7</xdr:col>
          <xdr:colOff>1727200</xdr:colOff>
          <xdr:row>4</xdr:row>
          <xdr:rowOff>63500</xdr:rowOff>
        </xdr:to>
        <xdr:sp macro="" textlink="">
          <xdr:nvSpPr>
            <xdr:cNvPr id="1028" name="Button 4" hidden="1">
              <a:extLst>
                <a:ext uri="{63B3BB69-23CF-44E3-9099-C40C66FF867C}">
                  <a14:compatExt spid="_x0000_s1028"/>
                </a:ext>
                <a:ext uri="{FF2B5EF4-FFF2-40B4-BE49-F238E27FC236}">
                  <a16:creationId xmlns:a16="http://schemas.microsoft.com/office/drawing/2014/main" id="{00000000-0008-0000-1000-000004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fr-FR" sz="1100" b="0" i="0" u="none" strike="noStrike" baseline="0">
                  <a:solidFill>
                    <a:srgbClr val="000000"/>
                  </a:solidFill>
                  <a:latin typeface="Calibri" pitchFamily="2" charset="0"/>
                  <a:cs typeface="Calibri" pitchFamily="2" charset="0"/>
                </a:rPr>
                <a:t>Générer le rapport</a:t>
              </a:r>
            </a:p>
          </xdr:txBody>
        </xdr:sp>
        <xdr:clientData fPrintsWithSheet="0"/>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6802425-C5FD-D044-86D6-B7D4CBE06A57}" name="Tableau1618" displayName="Tableau1618" ref="A2:D8" totalsRowShown="0" dataDxfId="17">
  <autoFilter ref="A2:D8" xr:uid="{9F6D98B6-E6AF-B94F-8376-609983E36BBE}"/>
  <tableColumns count="4">
    <tableColumn id="1" xr3:uid="{86D03DAA-04D0-1547-B0B4-08B27C3B9B7C}" name="Score" dataDxfId="16"/>
    <tableColumn id="2" xr3:uid="{8A722725-EAF4-F647-8A5F-A001EFC105AD}" name="Niveau" dataDxfId="15"/>
    <tableColumn id="3" xr3:uid="{83088374-E779-CF42-9F74-9BF0FBB9E9ED}" name="Maturité" dataDxfId="14"/>
    <tableColumn id="5" xr3:uid="{B6A01977-E5E5-9D43-8E97-DEB1D95E1BFC}" name="Symbole" dataDxfId="13"/>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Q01" displayName="TableQ01" ref="A4:H10">
  <autoFilter ref="A4:H10" xr:uid="{00000000-0009-0000-0100-000001000000}"/>
  <tableColumns count="8">
    <tableColumn id="1" xr3:uid="{00000000-0010-0000-0000-000001000000}" name="Score"/>
    <tableColumn id="2" xr3:uid="{00000000-0010-0000-0000-000002000000}" name="Thème"/>
    <tableColumn id="3" xr3:uid="{00000000-0010-0000-0000-000003000000}" name="Réponse"/>
    <tableColumn id="4" xr3:uid="{00000000-0010-0000-0000-000004000000}" name="Ce qui est déjà acquis"/>
    <tableColumn id="5" xr3:uid="{00000000-0010-0000-0000-000005000000}" name="Ce qui bloque l’étape suivante"/>
    <tableColumn id="6" xr3:uid="{00000000-0010-0000-0000-000006000000}" name="Capacités à acquérir"/>
    <tableColumn id="7" xr3:uid="{00000000-0010-0000-0000-000007000000}" name="Actions prioritaires"/>
    <tableColumn id="8" xr3:uid="{00000000-0010-0000-0000-000008000000}" name="Résultats attend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Q02" displayName="TableQ02" ref="A4:H10">
  <autoFilter ref="A4:H10" xr:uid="{00000000-0009-0000-0100-000002000000}"/>
  <tableColumns count="8">
    <tableColumn id="1" xr3:uid="{00000000-0010-0000-0100-000001000000}" name="Score"/>
    <tableColumn id="2" xr3:uid="{00000000-0010-0000-0100-000002000000}" name="Thème"/>
    <tableColumn id="3" xr3:uid="{00000000-0010-0000-0100-000003000000}" name="Réponse"/>
    <tableColumn id="4" xr3:uid="{00000000-0010-0000-0100-000004000000}" name="Ce qui est déjà acquis"/>
    <tableColumn id="5" xr3:uid="{00000000-0010-0000-0100-000005000000}" name="Ce qui bloque l’étape suivante"/>
    <tableColumn id="6" xr3:uid="{00000000-0010-0000-0100-000006000000}" name="Capacités à acquérir"/>
    <tableColumn id="7" xr3:uid="{00000000-0010-0000-0100-000007000000}" name="Actions prioritaires"/>
    <tableColumn id="8" xr3:uid="{00000000-0010-0000-0100-000008000000}" name="Résultats attend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Q03" displayName="TableQ03" ref="A4:H10">
  <autoFilter ref="A4:H10" xr:uid="{00000000-0009-0000-0100-000003000000}"/>
  <tableColumns count="8">
    <tableColumn id="1" xr3:uid="{00000000-0010-0000-0200-000001000000}" name="Score"/>
    <tableColumn id="2" xr3:uid="{00000000-0010-0000-0200-000002000000}" name="Thème"/>
    <tableColumn id="3" xr3:uid="{00000000-0010-0000-0200-000003000000}" name="Réponse"/>
    <tableColumn id="4" xr3:uid="{00000000-0010-0000-0200-000004000000}" name="Ce qui est déjà acquis"/>
    <tableColumn id="5" xr3:uid="{00000000-0010-0000-0200-000005000000}" name="Ce qui bloque l’étape suivante"/>
    <tableColumn id="6" xr3:uid="{00000000-0010-0000-0200-000006000000}" name="Capacités à acquérir"/>
    <tableColumn id="7" xr3:uid="{00000000-0010-0000-0200-000007000000}" name="Actions prioritaires"/>
    <tableColumn id="8" xr3:uid="{00000000-0010-0000-0200-000008000000}" name="Résultats attend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Q04" displayName="TableQ04" ref="A4:H10">
  <autoFilter ref="A4:H10" xr:uid="{00000000-0009-0000-0100-000004000000}"/>
  <tableColumns count="8">
    <tableColumn id="1" xr3:uid="{00000000-0010-0000-0300-000001000000}" name="Score" dataDxfId="12"/>
    <tableColumn id="2" xr3:uid="{00000000-0010-0000-0300-000002000000}" name="Thème" dataDxfId="11"/>
    <tableColumn id="3" xr3:uid="{00000000-0010-0000-0300-000003000000}" name="Réponse"/>
    <tableColumn id="4" xr3:uid="{00000000-0010-0000-0300-000004000000}" name="Ce qui est déjà acquis"/>
    <tableColumn id="5" xr3:uid="{00000000-0010-0000-0300-000005000000}" name="Ce qui bloque l’étape suivante"/>
    <tableColumn id="6" xr3:uid="{00000000-0010-0000-0300-000006000000}" name="Capacités à acquérir"/>
    <tableColumn id="7" xr3:uid="{00000000-0010-0000-0300-000007000000}" name="Actions prioritaires"/>
    <tableColumn id="8" xr3:uid="{00000000-0010-0000-0300-000008000000}" name="Résultats attend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Q05" displayName="TableQ05" ref="A4:H10">
  <autoFilter ref="A4:H10" xr:uid="{00000000-0009-0000-0100-000005000000}"/>
  <tableColumns count="8">
    <tableColumn id="1" xr3:uid="{00000000-0010-0000-0400-000001000000}" name="Score"/>
    <tableColumn id="2" xr3:uid="{00000000-0010-0000-0400-000002000000}" name="Thème"/>
    <tableColumn id="3" xr3:uid="{00000000-0010-0000-0400-000003000000}" name="Réponse"/>
    <tableColumn id="4" xr3:uid="{00000000-0010-0000-0400-000004000000}" name="Ce qui est déjà acquis"/>
    <tableColumn id="5" xr3:uid="{00000000-0010-0000-0400-000005000000}" name="Ce qui bloque l’étape suivante"/>
    <tableColumn id="6" xr3:uid="{00000000-0010-0000-0400-000006000000}" name="Capacités à acquérir"/>
    <tableColumn id="7" xr3:uid="{00000000-0010-0000-0400-000007000000}" name="Actions prioritaires"/>
    <tableColumn id="8" xr3:uid="{00000000-0010-0000-0400-000008000000}" name="Résultats attend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Q06" displayName="TableQ06" ref="A4:H10">
  <autoFilter ref="A4:H10" xr:uid="{00000000-0009-0000-0100-000006000000}"/>
  <tableColumns count="8">
    <tableColumn id="1" xr3:uid="{00000000-0010-0000-0500-000001000000}" name="Score"/>
    <tableColumn id="2" xr3:uid="{00000000-0010-0000-0500-000002000000}" name="Thème"/>
    <tableColumn id="3" xr3:uid="{00000000-0010-0000-0500-000003000000}" name="Réponse"/>
    <tableColumn id="4" xr3:uid="{00000000-0010-0000-0500-000004000000}" name="Ce qui est déjà acquis"/>
    <tableColumn id="5" xr3:uid="{00000000-0010-0000-0500-000005000000}" name="Ce qui bloque l’étape suivante"/>
    <tableColumn id="6" xr3:uid="{00000000-0010-0000-0500-000006000000}" name="Capacités à acquérir"/>
    <tableColumn id="7" xr3:uid="{00000000-0010-0000-0500-000007000000}" name="Actions prioritaires"/>
    <tableColumn id="8" xr3:uid="{00000000-0010-0000-0500-000008000000}" name="Résultats attend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Q07" displayName="TableQ07" ref="A4:H10">
  <autoFilter ref="A4:H10" xr:uid="{00000000-0009-0000-0100-000007000000}"/>
  <tableColumns count="8">
    <tableColumn id="1" xr3:uid="{00000000-0010-0000-0600-000001000000}" name="Score"/>
    <tableColumn id="2" xr3:uid="{00000000-0010-0000-0600-000002000000}" name="Thème" dataDxfId="10"/>
    <tableColumn id="3" xr3:uid="{00000000-0010-0000-0600-000003000000}" name="Réponse"/>
    <tableColumn id="4" xr3:uid="{00000000-0010-0000-0600-000004000000}" name="Ce qui est déjà acquis"/>
    <tableColumn id="5" xr3:uid="{00000000-0010-0000-0600-000005000000}" name="Ce qui bloque l’étape suivante"/>
    <tableColumn id="6" xr3:uid="{00000000-0010-0000-0600-000006000000}" name="Capacités à acquérir"/>
    <tableColumn id="7" xr3:uid="{00000000-0010-0000-0600-000007000000}" name="Actions prioritaires"/>
    <tableColumn id="8" xr3:uid="{00000000-0010-0000-0600-000008000000}" name="Résultats attend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Q08" displayName="TableQ08" ref="A4:H10">
  <autoFilter ref="A4:H10" xr:uid="{00000000-0009-0000-0100-000008000000}"/>
  <tableColumns count="8">
    <tableColumn id="1" xr3:uid="{00000000-0010-0000-0700-000001000000}" name="Score"/>
    <tableColumn id="2" xr3:uid="{00000000-0010-0000-0700-000002000000}" name="Thème"/>
    <tableColumn id="3" xr3:uid="{00000000-0010-0000-0700-000003000000}" name="Réponse" dataDxfId="9" dataCellStyle="Normal 2"/>
    <tableColumn id="4" xr3:uid="{00000000-0010-0000-0700-000004000000}" name="Ce qui est déjà acquis" dataDxfId="8" dataCellStyle="Normal 2"/>
    <tableColumn id="5" xr3:uid="{00000000-0010-0000-0700-000005000000}" name="Ce qui bloque l’étape suivante" dataDxfId="7" dataCellStyle="Normal 2"/>
    <tableColumn id="6" xr3:uid="{00000000-0010-0000-0700-000006000000}" name="Capacités à acquérir"/>
    <tableColumn id="7" xr3:uid="{00000000-0010-0000-0700-000007000000}" name="Actions prioritaires"/>
    <tableColumn id="8" xr3:uid="{00000000-0010-0000-0700-000008000000}" name="Résultats attendu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Q09" displayName="TableQ09" ref="A4:H10">
  <autoFilter ref="A4:H10" xr:uid="{00000000-0009-0000-0100-000009000000}"/>
  <tableColumns count="8">
    <tableColumn id="1" xr3:uid="{00000000-0010-0000-0800-000001000000}" name="Score"/>
    <tableColumn id="2" xr3:uid="{00000000-0010-0000-0800-000002000000}" name="Thème"/>
    <tableColumn id="3" xr3:uid="{00000000-0010-0000-0800-000003000000}" name="Réponse"/>
    <tableColumn id="4" xr3:uid="{00000000-0010-0000-0800-000004000000}" name="Ce qui est déjà acquis" dataDxfId="6" dataCellStyle="Normal 2"/>
    <tableColumn id="5" xr3:uid="{00000000-0010-0000-0800-000005000000}" name="Ce qui bloque l’étape suivante"/>
    <tableColumn id="6" xr3:uid="{00000000-0010-0000-0800-000006000000}" name="Capacités à acquérir"/>
    <tableColumn id="7" xr3:uid="{00000000-0010-0000-0800-000007000000}" name="Actions prioritaires"/>
    <tableColumn id="8" xr3:uid="{00000000-0010-0000-0800-000008000000}" name="Résultats attendu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Q10" displayName="TableQ10" ref="A4:H10">
  <autoFilter ref="A4:H10" xr:uid="{00000000-0009-0000-0100-00000A000000}"/>
  <tableColumns count="8">
    <tableColumn id="1" xr3:uid="{00000000-0010-0000-0900-000001000000}" name="Score"/>
    <tableColumn id="2" xr3:uid="{00000000-0010-0000-0900-000002000000}" name="Thème"/>
    <tableColumn id="3" xr3:uid="{00000000-0010-0000-0900-000003000000}" name="Réponse"/>
    <tableColumn id="4" xr3:uid="{00000000-0010-0000-0900-000004000000}" name="Ce qui est déjà acquis" dataDxfId="5" dataCellStyle="Normal 2"/>
    <tableColumn id="5" xr3:uid="{00000000-0010-0000-0900-000005000000}" name="Ce qui bloque l’étape suivante"/>
    <tableColumn id="6" xr3:uid="{00000000-0010-0000-0900-000006000000}" name="Capacités à acquérir"/>
    <tableColumn id="7" xr3:uid="{00000000-0010-0000-0900-000007000000}" name="Actions prioritaires"/>
    <tableColumn id="8" xr3:uid="{00000000-0010-0000-0900-000008000000}" name="Résultats attendu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Q11" displayName="TableQ11" ref="A4:H10">
  <autoFilter ref="A4:H10" xr:uid="{00000000-0009-0000-0100-00000B000000}"/>
  <tableColumns count="8">
    <tableColumn id="1" xr3:uid="{00000000-0010-0000-0A00-000001000000}" name="Score"/>
    <tableColumn id="2" xr3:uid="{00000000-0010-0000-0A00-000002000000}" name="Thème"/>
    <tableColumn id="3" xr3:uid="{00000000-0010-0000-0A00-000003000000}" name="Réponse"/>
    <tableColumn id="4" xr3:uid="{00000000-0010-0000-0A00-000004000000}" name="Ce qui est déjà acquis" dataDxfId="4" dataCellStyle="Normal 2"/>
    <tableColumn id="5" xr3:uid="{00000000-0010-0000-0A00-000005000000}" name="Ce qui bloque l’étape suivante"/>
    <tableColumn id="6" xr3:uid="{00000000-0010-0000-0A00-000006000000}" name="Capacités à acquérir"/>
    <tableColumn id="7" xr3:uid="{00000000-0010-0000-0A00-000007000000}" name="Actions prioritaires"/>
    <tableColumn id="8" xr3:uid="{00000000-0010-0000-0A00-000008000000}" name="Résultats attendu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Q12" displayName="TableQ12" ref="A4:H10">
  <autoFilter ref="A4:H10" xr:uid="{00000000-0009-0000-0100-00000C000000}"/>
  <tableColumns count="8">
    <tableColumn id="1" xr3:uid="{00000000-0010-0000-0B00-000001000000}" name="Score"/>
    <tableColumn id="2" xr3:uid="{00000000-0010-0000-0B00-000002000000}" name="Thème"/>
    <tableColumn id="3" xr3:uid="{00000000-0010-0000-0B00-000003000000}" name="Réponse"/>
    <tableColumn id="4" xr3:uid="{00000000-0010-0000-0B00-000004000000}" name="Ce qui est déjà acquis" dataDxfId="3" dataCellStyle="Normal 2"/>
    <tableColumn id="5" xr3:uid="{00000000-0010-0000-0B00-000005000000}" name="Ce qui bloque l’étape suivante"/>
    <tableColumn id="6" xr3:uid="{00000000-0010-0000-0B00-000006000000}" name="Capacités à acquérir"/>
    <tableColumn id="7" xr3:uid="{00000000-0010-0000-0B00-000007000000}" name="Actions prioritaires"/>
    <tableColumn id="8" xr3:uid="{00000000-0010-0000-0B00-000008000000}" name="Résultats attendu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Q13" displayName="TableQ13" ref="A4:H10">
  <autoFilter ref="A4:H10" xr:uid="{00000000-0009-0000-0100-00000D000000}"/>
  <tableColumns count="8">
    <tableColumn id="1" xr3:uid="{00000000-0010-0000-0C00-000001000000}" name="Score"/>
    <tableColumn id="2" xr3:uid="{00000000-0010-0000-0C00-000002000000}" name="Thème"/>
    <tableColumn id="3" xr3:uid="{00000000-0010-0000-0C00-000003000000}" name="Réponse"/>
    <tableColumn id="4" xr3:uid="{00000000-0010-0000-0C00-000004000000}" name="Ce qui est déjà acquis" dataDxfId="2" dataCellStyle="Normal 2"/>
    <tableColumn id="5" xr3:uid="{00000000-0010-0000-0C00-000005000000}" name="Ce qui bloque l’étape suivante"/>
    <tableColumn id="6" xr3:uid="{00000000-0010-0000-0C00-000006000000}" name="Capacités à acquérir"/>
    <tableColumn id="7" xr3:uid="{00000000-0010-0000-0C00-000007000000}" name="Actions prioritaires"/>
    <tableColumn id="8" xr3:uid="{00000000-0010-0000-0C00-000008000000}" name="Résultats attendu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Q14" displayName="TableQ14" ref="A4:H10">
  <autoFilter ref="A4:H10" xr:uid="{00000000-0009-0000-0100-00000E000000}"/>
  <tableColumns count="8">
    <tableColumn id="1" xr3:uid="{00000000-0010-0000-0D00-000001000000}" name="Score"/>
    <tableColumn id="2" xr3:uid="{00000000-0010-0000-0D00-000002000000}" name="Thème"/>
    <tableColumn id="3" xr3:uid="{00000000-0010-0000-0D00-000003000000}" name="Réponse"/>
    <tableColumn id="4" xr3:uid="{00000000-0010-0000-0D00-000004000000}" name="Ce qui est déjà acquis" dataDxfId="1" dataCellStyle="Normal 2"/>
    <tableColumn id="5" xr3:uid="{00000000-0010-0000-0D00-000005000000}" name="Ce qui bloque l’étape suivante"/>
    <tableColumn id="6" xr3:uid="{00000000-0010-0000-0D00-000006000000}" name="Capacités à acquérir"/>
    <tableColumn id="7" xr3:uid="{00000000-0010-0000-0D00-000007000000}" name="Actions prioritaires"/>
    <tableColumn id="8" xr3:uid="{00000000-0010-0000-0D00-000008000000}" name="Résultats attendu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Q15" displayName="TableQ15" ref="A4:H10">
  <autoFilter ref="A4:H10" xr:uid="{00000000-0009-0000-0100-00000F000000}"/>
  <tableColumns count="8">
    <tableColumn id="1" xr3:uid="{00000000-0010-0000-0E00-000001000000}" name="Score"/>
    <tableColumn id="2" xr3:uid="{00000000-0010-0000-0E00-000002000000}" name="Thème"/>
    <tableColumn id="3" xr3:uid="{00000000-0010-0000-0E00-000003000000}" name="Réponse"/>
    <tableColumn id="4" xr3:uid="{00000000-0010-0000-0E00-000004000000}" name="Ce qui est déjà acquis" dataDxfId="0" dataCellStyle="Normal 2"/>
    <tableColumn id="5" xr3:uid="{00000000-0010-0000-0E00-000005000000}" name="Ce qui bloque l’étape suivante"/>
    <tableColumn id="6" xr3:uid="{00000000-0010-0000-0E00-000006000000}" name="Capacités à acquérir"/>
    <tableColumn id="7" xr3:uid="{00000000-0010-0000-0E00-000007000000}" name="Actions prioritaires"/>
    <tableColumn id="8" xr3:uid="{00000000-0010-0000-0E00-000008000000}" name="Résultats attendus"/>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7.xml"/><Relationship Id="rId4"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502D3-30A1-3342-93D1-BEB6E2B4751F}">
  <sheetPr codeName="Feuil1"/>
  <dimension ref="A2:D8"/>
  <sheetViews>
    <sheetView zoomScale="137" workbookViewId="0">
      <selection activeCell="F6" sqref="F6:F7"/>
    </sheetView>
  </sheetViews>
  <sheetFormatPr baseColWidth="10" defaultColWidth="10.6640625" defaultRowHeight="15" x14ac:dyDescent="0.2"/>
  <cols>
    <col min="1" max="1" width="7.5" customWidth="1"/>
    <col min="2" max="2" width="16.83203125" customWidth="1"/>
    <col min="3" max="3" width="43.83203125" style="2" customWidth="1"/>
    <col min="4" max="4" width="16.83203125" style="2" customWidth="1"/>
    <col min="5" max="5" width="15" customWidth="1"/>
    <col min="8" max="8" width="12.33203125" customWidth="1"/>
  </cols>
  <sheetData>
    <row r="2" spans="1:4" ht="16" x14ac:dyDescent="0.2">
      <c r="A2" s="16" t="s">
        <v>1</v>
      </c>
      <c r="B2" s="16" t="s">
        <v>789</v>
      </c>
      <c r="C2" s="2" t="s">
        <v>791</v>
      </c>
      <c r="D2" t="s">
        <v>792</v>
      </c>
    </row>
    <row r="3" spans="1:4" ht="80" x14ac:dyDescent="0.2">
      <c r="A3" s="48">
        <v>0</v>
      </c>
      <c r="B3" s="52" t="s">
        <v>812</v>
      </c>
      <c r="C3" s="53" t="s">
        <v>802</v>
      </c>
      <c r="D3" s="48"/>
    </row>
    <row r="4" spans="1:4" ht="90" customHeight="1" x14ac:dyDescent="0.2">
      <c r="A4" s="48">
        <v>1</v>
      </c>
      <c r="B4" s="52" t="s">
        <v>793</v>
      </c>
      <c r="C4" s="53" t="s">
        <v>813</v>
      </c>
      <c r="D4" s="48"/>
    </row>
    <row r="5" spans="1:4" ht="90" customHeight="1" x14ac:dyDescent="0.2">
      <c r="A5" s="48">
        <v>2</v>
      </c>
      <c r="B5" s="52" t="s">
        <v>794</v>
      </c>
      <c r="C5" s="53" t="s">
        <v>803</v>
      </c>
      <c r="D5" s="48"/>
    </row>
    <row r="6" spans="1:4" ht="90" customHeight="1" x14ac:dyDescent="0.2">
      <c r="A6" s="48">
        <v>3</v>
      </c>
      <c r="B6" s="52" t="s">
        <v>795</v>
      </c>
      <c r="C6" s="53" t="s">
        <v>801</v>
      </c>
      <c r="D6" s="48"/>
    </row>
    <row r="7" spans="1:4" ht="90" customHeight="1" x14ac:dyDescent="0.2">
      <c r="A7" s="48">
        <v>4</v>
      </c>
      <c r="B7" s="52" t="s">
        <v>796</v>
      </c>
      <c r="C7" s="53" t="s">
        <v>800</v>
      </c>
      <c r="D7" s="48"/>
    </row>
    <row r="8" spans="1:4" ht="90" customHeight="1" x14ac:dyDescent="0.2">
      <c r="A8" s="48">
        <v>5</v>
      </c>
      <c r="B8" s="52" t="s">
        <v>797</v>
      </c>
      <c r="C8" s="53" t="s">
        <v>790</v>
      </c>
      <c r="D8" s="48"/>
    </row>
  </sheetData>
  <pageMargins left="0.7" right="0.7" top="0.75" bottom="0.75" header="0.3" footer="0.3"/>
  <pageSetup paperSize="9" orientation="portrait" horizontalDpi="0" verticalDpi="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dimension ref="A1:F18"/>
  <sheetViews>
    <sheetView showGridLines="0" workbookViewId="0">
      <pane ySplit="3" topLeftCell="A4" activePane="bottomLeft" state="frozen"/>
      <selection activeCell="C29" sqref="C29"/>
      <selection pane="bottomLeft" activeCell="D15" sqref="D15"/>
    </sheetView>
  </sheetViews>
  <sheetFormatPr baseColWidth="10" defaultColWidth="8.83203125" defaultRowHeight="20" customHeight="1" x14ac:dyDescent="0.2"/>
  <cols>
    <col min="1" max="1" width="8.33203125" style="18" bestFit="1" customWidth="1"/>
    <col min="2" max="2" width="13.1640625" style="18" bestFit="1" customWidth="1"/>
    <col min="3" max="3" width="13" style="18" bestFit="1" customWidth="1"/>
    <col min="4" max="4" width="34.5" style="18" bestFit="1" customWidth="1"/>
    <col min="5" max="5" width="117.1640625" style="18" bestFit="1" customWidth="1"/>
    <col min="6" max="6" width="39" style="18" customWidth="1"/>
    <col min="7" max="7" width="8.83203125" style="18" customWidth="1"/>
    <col min="8" max="16384" width="8.83203125" style="18"/>
  </cols>
  <sheetData>
    <row r="1" spans="1:6" ht="20" customHeight="1" x14ac:dyDescent="0.25">
      <c r="A1" s="56" t="s">
        <v>45</v>
      </c>
      <c r="B1" s="57"/>
      <c r="C1" s="57"/>
      <c r="D1" s="57"/>
      <c r="E1" s="57"/>
      <c r="F1" s="57"/>
    </row>
    <row r="2" spans="1:6" ht="20" customHeight="1" x14ac:dyDescent="0.2">
      <c r="A2" s="20" t="s">
        <v>46</v>
      </c>
      <c r="B2" s="58" t="s">
        <v>47</v>
      </c>
      <c r="C2" s="57"/>
      <c r="D2" s="57"/>
      <c r="E2" s="57"/>
      <c r="F2" s="36"/>
    </row>
    <row r="3" spans="1:6" ht="20" customHeight="1" x14ac:dyDescent="0.2">
      <c r="A3" s="35" t="s">
        <v>48</v>
      </c>
      <c r="B3" s="35" t="s">
        <v>49</v>
      </c>
      <c r="C3" s="35" t="s">
        <v>50</v>
      </c>
      <c r="D3" s="35" t="s">
        <v>51</v>
      </c>
      <c r="E3" s="35" t="s">
        <v>2</v>
      </c>
      <c r="F3" s="35" t="s">
        <v>52</v>
      </c>
    </row>
    <row r="4" spans="1:6" ht="20" customHeight="1" x14ac:dyDescent="0.2">
      <c r="A4" s="37" t="s">
        <v>53</v>
      </c>
      <c r="B4" s="38" t="s">
        <v>54</v>
      </c>
      <c r="C4" s="38" t="s">
        <v>55</v>
      </c>
      <c r="D4" s="38" t="s">
        <v>56</v>
      </c>
      <c r="E4" s="38" t="s">
        <v>57</v>
      </c>
      <c r="F4" s="38" t="s">
        <v>58</v>
      </c>
    </row>
    <row r="5" spans="1:6" ht="20" customHeight="1" x14ac:dyDescent="0.2">
      <c r="A5" s="37" t="s">
        <v>59</v>
      </c>
      <c r="B5" s="38" t="s">
        <v>54</v>
      </c>
      <c r="C5" s="38" t="s">
        <v>60</v>
      </c>
      <c r="D5" s="38" t="s">
        <v>61</v>
      </c>
      <c r="E5" s="38" t="s">
        <v>62</v>
      </c>
      <c r="F5" s="38"/>
    </row>
    <row r="6" spans="1:6" ht="20" customHeight="1" x14ac:dyDescent="0.2">
      <c r="A6" s="37" t="s">
        <v>63</v>
      </c>
      <c r="B6" s="38" t="s">
        <v>54</v>
      </c>
      <c r="C6" s="38" t="s">
        <v>64</v>
      </c>
      <c r="D6" s="38" t="s">
        <v>65</v>
      </c>
      <c r="E6" s="38" t="s">
        <v>66</v>
      </c>
      <c r="F6" s="38"/>
    </row>
    <row r="7" spans="1:6" ht="20" customHeight="1" x14ac:dyDescent="0.2">
      <c r="A7" s="37" t="s">
        <v>67</v>
      </c>
      <c r="B7" s="38" t="s">
        <v>68</v>
      </c>
      <c r="C7" s="38" t="s">
        <v>55</v>
      </c>
      <c r="D7" s="38" t="s">
        <v>69</v>
      </c>
      <c r="E7" s="38" t="s">
        <v>70</v>
      </c>
      <c r="F7" s="38" t="s">
        <v>71</v>
      </c>
    </row>
    <row r="8" spans="1:6" ht="20" customHeight="1" x14ac:dyDescent="0.2">
      <c r="A8" s="37" t="s">
        <v>72</v>
      </c>
      <c r="B8" s="38" t="s">
        <v>68</v>
      </c>
      <c r="C8" s="38" t="s">
        <v>60</v>
      </c>
      <c r="D8" s="38" t="s">
        <v>73</v>
      </c>
      <c r="E8" s="38" t="s">
        <v>74</v>
      </c>
      <c r="F8" s="38"/>
    </row>
    <row r="9" spans="1:6" ht="20" customHeight="1" x14ac:dyDescent="0.2">
      <c r="A9" s="37" t="s">
        <v>75</v>
      </c>
      <c r="B9" s="38" t="s">
        <v>68</v>
      </c>
      <c r="C9" s="38" t="s">
        <v>64</v>
      </c>
      <c r="D9" s="38" t="s">
        <v>76</v>
      </c>
      <c r="E9" s="38" t="s">
        <v>77</v>
      </c>
      <c r="F9" s="38"/>
    </row>
    <row r="10" spans="1:6" ht="20" customHeight="1" x14ac:dyDescent="0.2">
      <c r="A10" s="37" t="s">
        <v>78</v>
      </c>
      <c r="B10" s="38" t="s">
        <v>79</v>
      </c>
      <c r="C10" s="38" t="s">
        <v>55</v>
      </c>
      <c r="D10" s="38" t="s">
        <v>80</v>
      </c>
      <c r="E10" s="38" t="s">
        <v>81</v>
      </c>
      <c r="F10" s="38" t="s">
        <v>82</v>
      </c>
    </row>
    <row r="11" spans="1:6" ht="20" customHeight="1" x14ac:dyDescent="0.2">
      <c r="A11" s="37" t="s">
        <v>83</v>
      </c>
      <c r="B11" s="38" t="s">
        <v>79</v>
      </c>
      <c r="C11" s="38" t="s">
        <v>60</v>
      </c>
      <c r="D11" s="38" t="s">
        <v>84</v>
      </c>
      <c r="E11" s="38" t="s">
        <v>85</v>
      </c>
      <c r="F11" s="38"/>
    </row>
    <row r="12" spans="1:6" ht="20" customHeight="1" x14ac:dyDescent="0.2">
      <c r="A12" s="37" t="s">
        <v>86</v>
      </c>
      <c r="B12" s="38" t="s">
        <v>79</v>
      </c>
      <c r="C12" s="38" t="s">
        <v>64</v>
      </c>
      <c r="D12" s="38" t="s">
        <v>87</v>
      </c>
      <c r="E12" s="38" t="s">
        <v>88</v>
      </c>
      <c r="F12" s="38"/>
    </row>
    <row r="13" spans="1:6" ht="20" customHeight="1" x14ac:dyDescent="0.2">
      <c r="A13" s="37" t="s">
        <v>89</v>
      </c>
      <c r="B13" s="38" t="s">
        <v>90</v>
      </c>
      <c r="C13" s="38" t="s">
        <v>55</v>
      </c>
      <c r="D13" s="38" t="s">
        <v>91</v>
      </c>
      <c r="E13" s="38" t="s">
        <v>92</v>
      </c>
      <c r="F13" s="38" t="s">
        <v>93</v>
      </c>
    </row>
    <row r="14" spans="1:6" ht="20" customHeight="1" x14ac:dyDescent="0.2">
      <c r="A14" s="37" t="s">
        <v>94</v>
      </c>
      <c r="B14" s="38" t="s">
        <v>90</v>
      </c>
      <c r="C14" s="38" t="s">
        <v>60</v>
      </c>
      <c r="D14" s="38" t="s">
        <v>95</v>
      </c>
      <c r="E14" s="38" t="s">
        <v>96</v>
      </c>
      <c r="F14" s="38"/>
    </row>
    <row r="15" spans="1:6" ht="20" customHeight="1" x14ac:dyDescent="0.2">
      <c r="A15" s="37" t="s">
        <v>97</v>
      </c>
      <c r="B15" s="38" t="s">
        <v>90</v>
      </c>
      <c r="C15" s="38" t="s">
        <v>64</v>
      </c>
      <c r="D15" s="38" t="s">
        <v>98</v>
      </c>
      <c r="E15" s="38" t="s">
        <v>99</v>
      </c>
      <c r="F15" s="38"/>
    </row>
    <row r="16" spans="1:6" ht="20" customHeight="1" x14ac:dyDescent="0.2">
      <c r="A16" s="37" t="s">
        <v>100</v>
      </c>
      <c r="B16" s="38" t="s">
        <v>101</v>
      </c>
      <c r="C16" s="38" t="s">
        <v>55</v>
      </c>
      <c r="D16" s="38" t="s">
        <v>102</v>
      </c>
      <c r="E16" s="38" t="s">
        <v>103</v>
      </c>
      <c r="F16" s="38" t="s">
        <v>104</v>
      </c>
    </row>
    <row r="17" spans="1:6" ht="20" customHeight="1" x14ac:dyDescent="0.2">
      <c r="A17" s="37" t="s">
        <v>105</v>
      </c>
      <c r="B17" s="38" t="s">
        <v>101</v>
      </c>
      <c r="C17" s="38" t="s">
        <v>60</v>
      </c>
      <c r="D17" s="38" t="s">
        <v>106</v>
      </c>
      <c r="E17" s="38" t="s">
        <v>107</v>
      </c>
      <c r="F17" s="38"/>
    </row>
    <row r="18" spans="1:6" ht="20" customHeight="1" x14ac:dyDescent="0.2">
      <c r="A18" s="37" t="s">
        <v>108</v>
      </c>
      <c r="B18" s="38" t="s">
        <v>101</v>
      </c>
      <c r="C18" s="38" t="s">
        <v>64</v>
      </c>
      <c r="D18" s="38" t="s">
        <v>109</v>
      </c>
      <c r="E18" s="38" t="s">
        <v>110</v>
      </c>
      <c r="F18" s="38"/>
    </row>
  </sheetData>
  <mergeCells count="2">
    <mergeCell ref="A1:F1"/>
    <mergeCell ref="B2:E2"/>
  </mergeCells>
  <hyperlinks>
    <hyperlink ref="A4" location="'Q01'!A1" display="Q01" xr:uid="{00000000-0004-0000-0000-000000000000}"/>
    <hyperlink ref="A5" location="'Q02'!A1" display="Q02" xr:uid="{00000000-0004-0000-0000-000001000000}"/>
    <hyperlink ref="A6" location="'Q03'!A1" display="Q03" xr:uid="{00000000-0004-0000-0000-000002000000}"/>
    <hyperlink ref="A7" location="'Q04'!A1" display="Q04" xr:uid="{00000000-0004-0000-0000-000003000000}"/>
    <hyperlink ref="A8" location="'Q05'!A1" display="Q05" xr:uid="{00000000-0004-0000-0000-000004000000}"/>
    <hyperlink ref="A9" location="'Q06'!A1" display="Q06" xr:uid="{00000000-0004-0000-0000-000005000000}"/>
    <hyperlink ref="A10" location="'Q07'!A1" display="Q07" xr:uid="{00000000-0004-0000-0000-000006000000}"/>
    <hyperlink ref="A11" location="'Q08'!A1" display="Q08" xr:uid="{00000000-0004-0000-0000-000007000000}"/>
    <hyperlink ref="A12" location="'Q09'!A1" display="Q09" xr:uid="{00000000-0004-0000-0000-000008000000}"/>
    <hyperlink ref="A13" location="'Q10'!A1" display="Q10" xr:uid="{00000000-0004-0000-0000-000009000000}"/>
    <hyperlink ref="A14" location="'Q11'!A1" display="Q11" xr:uid="{00000000-0004-0000-0000-00000A000000}"/>
    <hyperlink ref="A15" location="'Q12'!A1" display="Q12" xr:uid="{00000000-0004-0000-0000-00000B000000}"/>
    <hyperlink ref="A16" location="'Q13'!A1" display="Q13" xr:uid="{00000000-0004-0000-0000-00000C000000}"/>
    <hyperlink ref="A17" location="'Q14'!A1" display="Q14" xr:uid="{00000000-0004-0000-0000-00000D000000}"/>
    <hyperlink ref="A18" location="'Q15'!A1" display="Q15" xr:uid="{00000000-0004-0000-0000-00000E000000}"/>
  </hyperlinks>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3"/>
  <dimension ref="A1:E16"/>
  <sheetViews>
    <sheetView zoomScale="150" workbookViewId="0">
      <selection activeCell="F16" sqref="F16"/>
    </sheetView>
  </sheetViews>
  <sheetFormatPr baseColWidth="10" defaultColWidth="10.83203125" defaultRowHeight="130" customHeight="1" x14ac:dyDescent="0.2"/>
  <cols>
    <col min="1" max="1" width="4.33203125" style="2" bestFit="1" customWidth="1"/>
    <col min="2" max="2" width="11.5" style="2" bestFit="1" customWidth="1"/>
    <col min="3" max="3" width="16.6640625" style="2" customWidth="1"/>
    <col min="4" max="4" width="35.5" style="2" customWidth="1"/>
    <col min="5" max="5" width="93.5" style="2" customWidth="1"/>
    <col min="6" max="6" width="10.83203125" style="2" customWidth="1"/>
    <col min="7" max="8" width="26" style="2" customWidth="1"/>
    <col min="9" max="9" width="10.83203125" style="2" customWidth="1"/>
    <col min="10" max="16384" width="10.83203125" style="2"/>
  </cols>
  <sheetData>
    <row r="1" spans="1:5" ht="16" customHeight="1" x14ac:dyDescent="0.2">
      <c r="A1" s="1" t="s">
        <v>111</v>
      </c>
      <c r="B1" s="1" t="s">
        <v>49</v>
      </c>
      <c r="C1" s="1" t="s">
        <v>112</v>
      </c>
      <c r="D1" s="1" t="s">
        <v>48</v>
      </c>
      <c r="E1" s="1" t="s">
        <v>113</v>
      </c>
    </row>
    <row r="2" spans="1:5" ht="158" customHeight="1" x14ac:dyDescent="0.2">
      <c r="A2" s="2" t="str">
        <f>IndexQuestions!A4</f>
        <v>Q01</v>
      </c>
      <c r="B2" s="2" t="str">
        <f>IndexQuestions!B4</f>
        <v>POTENTIEL</v>
      </c>
      <c r="C2" s="2" t="s">
        <v>55</v>
      </c>
      <c r="D2" s="2" t="s">
        <v>57</v>
      </c>
      <c r="E2" s="2" t="s">
        <v>687</v>
      </c>
    </row>
    <row r="3" spans="1:5" ht="130" customHeight="1" x14ac:dyDescent="0.2">
      <c r="A3" s="2" t="s">
        <v>59</v>
      </c>
      <c r="B3" s="1" t="s">
        <v>114</v>
      </c>
      <c r="C3" s="2" t="s">
        <v>60</v>
      </c>
      <c r="D3" s="2" t="s">
        <v>62</v>
      </c>
      <c r="E3" s="2" t="s">
        <v>115</v>
      </c>
    </row>
    <row r="4" spans="1:5" ht="130" customHeight="1" x14ac:dyDescent="0.2">
      <c r="A4" s="2" t="s">
        <v>63</v>
      </c>
      <c r="B4" s="1" t="s">
        <v>114</v>
      </c>
      <c r="C4" s="2" t="s">
        <v>64</v>
      </c>
      <c r="D4" s="2" t="s">
        <v>66</v>
      </c>
      <c r="E4" s="2" t="s">
        <v>116</v>
      </c>
    </row>
    <row r="5" spans="1:5" ht="130" customHeight="1" x14ac:dyDescent="0.2">
      <c r="A5" s="2" t="s">
        <v>67</v>
      </c>
      <c r="B5" s="1" t="s">
        <v>117</v>
      </c>
      <c r="C5" s="2" t="s">
        <v>55</v>
      </c>
      <c r="D5" s="2" t="s">
        <v>70</v>
      </c>
      <c r="E5" s="2" t="s">
        <v>118</v>
      </c>
    </row>
    <row r="6" spans="1:5" ht="130" customHeight="1" x14ac:dyDescent="0.2">
      <c r="A6" s="2" t="s">
        <v>72</v>
      </c>
      <c r="B6" s="1" t="s">
        <v>117</v>
      </c>
      <c r="C6" s="2" t="s">
        <v>60</v>
      </c>
      <c r="D6" s="2" t="s">
        <v>74</v>
      </c>
      <c r="E6" s="2" t="s">
        <v>119</v>
      </c>
    </row>
    <row r="7" spans="1:5" ht="130" customHeight="1" x14ac:dyDescent="0.2">
      <c r="A7" s="2" t="s">
        <v>75</v>
      </c>
      <c r="B7" s="1" t="s">
        <v>117</v>
      </c>
      <c r="C7" s="2" t="s">
        <v>64</v>
      </c>
      <c r="D7" s="2" t="s">
        <v>77</v>
      </c>
      <c r="E7" s="2" t="s">
        <v>120</v>
      </c>
    </row>
    <row r="8" spans="1:5" ht="139" customHeight="1" x14ac:dyDescent="0.2">
      <c r="A8" s="2" t="s">
        <v>78</v>
      </c>
      <c r="B8" s="1" t="s">
        <v>121</v>
      </c>
      <c r="C8" s="2" t="s">
        <v>55</v>
      </c>
      <c r="D8" s="2" t="s">
        <v>81</v>
      </c>
      <c r="E8" s="2" t="s">
        <v>122</v>
      </c>
    </row>
    <row r="9" spans="1:5" ht="130" customHeight="1" x14ac:dyDescent="0.2">
      <c r="A9" s="2" t="s">
        <v>83</v>
      </c>
      <c r="B9" s="1" t="s">
        <v>121</v>
      </c>
      <c r="C9" s="2" t="s">
        <v>60</v>
      </c>
      <c r="D9" s="2" t="s">
        <v>85</v>
      </c>
      <c r="E9" s="2" t="s">
        <v>123</v>
      </c>
    </row>
    <row r="10" spans="1:5" ht="160" customHeight="1" x14ac:dyDescent="0.2">
      <c r="A10" s="2" t="s">
        <v>86</v>
      </c>
      <c r="B10" s="1" t="s">
        <v>121</v>
      </c>
      <c r="C10" s="2" t="s">
        <v>64</v>
      </c>
      <c r="D10" s="2" t="s">
        <v>88</v>
      </c>
      <c r="E10" s="2" t="s">
        <v>124</v>
      </c>
    </row>
    <row r="11" spans="1:5" ht="130" customHeight="1" x14ac:dyDescent="0.2">
      <c r="A11" s="2" t="s">
        <v>89</v>
      </c>
      <c r="B11" s="1" t="s">
        <v>125</v>
      </c>
      <c r="C11" s="2" t="s">
        <v>55</v>
      </c>
      <c r="D11" s="2" t="s">
        <v>92</v>
      </c>
      <c r="E11" s="2" t="s">
        <v>126</v>
      </c>
    </row>
    <row r="12" spans="1:5" ht="130" customHeight="1" x14ac:dyDescent="0.2">
      <c r="A12" s="2" t="s">
        <v>94</v>
      </c>
      <c r="B12" s="1" t="s">
        <v>125</v>
      </c>
      <c r="C12" s="2" t="s">
        <v>60</v>
      </c>
      <c r="D12" s="2" t="s">
        <v>96</v>
      </c>
      <c r="E12" s="2" t="s">
        <v>127</v>
      </c>
    </row>
    <row r="13" spans="1:5" ht="130" customHeight="1" x14ac:dyDescent="0.2">
      <c r="A13" s="2" t="s">
        <v>97</v>
      </c>
      <c r="B13" s="1" t="s">
        <v>125</v>
      </c>
      <c r="C13" s="2" t="s">
        <v>64</v>
      </c>
      <c r="D13" s="2" t="s">
        <v>99</v>
      </c>
      <c r="E13" s="2" t="s">
        <v>128</v>
      </c>
    </row>
    <row r="14" spans="1:5" ht="130" customHeight="1" x14ac:dyDescent="0.2">
      <c r="A14" s="2" t="s">
        <v>100</v>
      </c>
      <c r="B14" s="1" t="s">
        <v>129</v>
      </c>
      <c r="C14" s="2" t="s">
        <v>55</v>
      </c>
      <c r="D14" s="2" t="s">
        <v>103</v>
      </c>
      <c r="E14" s="2" t="s">
        <v>130</v>
      </c>
    </row>
    <row r="15" spans="1:5" ht="130" customHeight="1" x14ac:dyDescent="0.2">
      <c r="A15" s="2" t="s">
        <v>105</v>
      </c>
      <c r="B15" s="1" t="s">
        <v>129</v>
      </c>
      <c r="C15" s="2" t="s">
        <v>60</v>
      </c>
      <c r="D15" s="2" t="s">
        <v>107</v>
      </c>
      <c r="E15" s="2" t="s">
        <v>131</v>
      </c>
    </row>
    <row r="16" spans="1:5" ht="130" customHeight="1" x14ac:dyDescent="0.2">
      <c r="A16" s="2" t="s">
        <v>108</v>
      </c>
      <c r="B16" s="1" t="s">
        <v>129</v>
      </c>
      <c r="C16" s="2" t="s">
        <v>64</v>
      </c>
      <c r="D16" s="2" t="s">
        <v>110</v>
      </c>
      <c r="E16" s="2" t="s">
        <v>132</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dimension ref="A1:Q6"/>
  <sheetViews>
    <sheetView tabSelected="1" zoomScale="192" workbookViewId="0">
      <selection activeCell="B5" sqref="B5"/>
    </sheetView>
  </sheetViews>
  <sheetFormatPr baseColWidth="10" defaultColWidth="10.6640625" defaultRowHeight="15" x14ac:dyDescent="0.2"/>
  <cols>
    <col min="1" max="1" width="2.6640625" bestFit="1" customWidth="1"/>
    <col min="3" max="17" width="3.5" bestFit="1" customWidth="1"/>
  </cols>
  <sheetData>
    <row r="1" spans="1:17" s="6" customFormat="1" ht="228" customHeight="1" x14ac:dyDescent="0.2">
      <c r="A1" t="s">
        <v>133</v>
      </c>
      <c r="B1" t="s">
        <v>134</v>
      </c>
      <c r="C1" s="5" t="s">
        <v>135</v>
      </c>
      <c r="D1" s="5" t="s">
        <v>136</v>
      </c>
      <c r="E1" s="5" t="s">
        <v>137</v>
      </c>
      <c r="F1" s="5" t="s">
        <v>138</v>
      </c>
      <c r="G1" s="5" t="s">
        <v>139</v>
      </c>
      <c r="H1" s="5" t="s">
        <v>140</v>
      </c>
      <c r="I1" s="5" t="s">
        <v>141</v>
      </c>
      <c r="J1" s="5" t="s">
        <v>142</v>
      </c>
      <c r="K1" s="5" t="s">
        <v>143</v>
      </c>
      <c r="L1" s="5" t="s">
        <v>144</v>
      </c>
      <c r="M1" s="5" t="s">
        <v>145</v>
      </c>
      <c r="N1" s="5" t="s">
        <v>146</v>
      </c>
      <c r="O1" s="5" t="s">
        <v>147</v>
      </c>
      <c r="P1" s="5" t="s">
        <v>148</v>
      </c>
      <c r="Q1" s="5" t="s">
        <v>149</v>
      </c>
    </row>
    <row r="2" spans="1:17" x14ac:dyDescent="0.2">
      <c r="A2">
        <v>1</v>
      </c>
      <c r="B2" t="s">
        <v>804</v>
      </c>
      <c r="C2" s="7">
        <v>1</v>
      </c>
      <c r="D2" s="7">
        <v>1</v>
      </c>
      <c r="E2" s="7">
        <v>1</v>
      </c>
      <c r="F2" s="7">
        <v>1</v>
      </c>
      <c r="G2" s="7">
        <v>1</v>
      </c>
      <c r="H2" s="7">
        <v>1</v>
      </c>
      <c r="I2" s="7">
        <v>1</v>
      </c>
      <c r="J2" s="7">
        <v>1</v>
      </c>
      <c r="K2" s="7">
        <v>1</v>
      </c>
      <c r="L2" s="7">
        <v>1</v>
      </c>
      <c r="M2" s="7">
        <v>1</v>
      </c>
      <c r="N2" s="7">
        <v>1</v>
      </c>
      <c r="O2" s="7">
        <v>1</v>
      </c>
      <c r="P2" s="7">
        <v>1</v>
      </c>
      <c r="Q2" s="7">
        <v>1</v>
      </c>
    </row>
    <row r="3" spans="1:17" x14ac:dyDescent="0.2">
      <c r="A3">
        <v>2</v>
      </c>
      <c r="B3" t="s">
        <v>805</v>
      </c>
      <c r="C3" s="7">
        <v>3</v>
      </c>
      <c r="D3" s="7">
        <v>3</v>
      </c>
      <c r="E3" s="7">
        <v>4</v>
      </c>
      <c r="F3" s="7">
        <v>5</v>
      </c>
      <c r="G3" s="7">
        <v>3</v>
      </c>
      <c r="H3" s="7">
        <v>2</v>
      </c>
      <c r="I3" s="7">
        <v>3</v>
      </c>
      <c r="J3" s="7">
        <v>3</v>
      </c>
      <c r="K3" s="7">
        <v>2</v>
      </c>
      <c r="L3" s="7">
        <v>3</v>
      </c>
      <c r="M3" s="7">
        <v>2</v>
      </c>
      <c r="N3" s="7">
        <v>1</v>
      </c>
      <c r="O3" s="7">
        <v>1</v>
      </c>
      <c r="P3" s="7">
        <v>1</v>
      </c>
      <c r="Q3" s="7">
        <v>1</v>
      </c>
    </row>
    <row r="4" spans="1:17" x14ac:dyDescent="0.2">
      <c r="A4">
        <v>3</v>
      </c>
      <c r="B4" t="s">
        <v>806</v>
      </c>
      <c r="C4" s="7">
        <v>5</v>
      </c>
      <c r="D4" s="7">
        <v>5</v>
      </c>
      <c r="E4" s="7">
        <v>5</v>
      </c>
      <c r="F4" s="7">
        <v>5</v>
      </c>
      <c r="G4" s="7">
        <v>5</v>
      </c>
      <c r="H4" s="7">
        <v>3</v>
      </c>
      <c r="I4" s="7">
        <v>2</v>
      </c>
      <c r="J4" s="7">
        <v>2</v>
      </c>
      <c r="K4" s="7">
        <v>2</v>
      </c>
      <c r="L4" s="7">
        <v>3</v>
      </c>
      <c r="M4" s="7">
        <v>2</v>
      </c>
      <c r="N4" s="7">
        <v>1</v>
      </c>
      <c r="O4" s="7">
        <v>1</v>
      </c>
      <c r="P4" s="7">
        <v>1</v>
      </c>
      <c r="Q4" s="7">
        <v>1</v>
      </c>
    </row>
    <row r="5" spans="1:17" x14ac:dyDescent="0.2">
      <c r="A5">
        <v>4</v>
      </c>
      <c r="B5" t="s">
        <v>807</v>
      </c>
      <c r="C5" s="7">
        <v>1</v>
      </c>
      <c r="D5" s="7">
        <v>1</v>
      </c>
      <c r="E5" s="7">
        <v>1</v>
      </c>
      <c r="F5" s="7">
        <v>2</v>
      </c>
      <c r="G5" s="7">
        <v>2</v>
      </c>
      <c r="H5" s="7">
        <v>3</v>
      </c>
      <c r="I5" s="7">
        <v>0</v>
      </c>
      <c r="J5" s="7">
        <v>0</v>
      </c>
      <c r="K5" s="7">
        <v>1</v>
      </c>
      <c r="L5" s="7">
        <v>5</v>
      </c>
      <c r="M5" s="7">
        <v>5</v>
      </c>
      <c r="N5" s="7">
        <v>3</v>
      </c>
      <c r="O5" s="7">
        <v>1</v>
      </c>
      <c r="P5" s="7">
        <v>2</v>
      </c>
      <c r="Q5" s="7">
        <v>3</v>
      </c>
    </row>
    <row r="6" spans="1:17" x14ac:dyDescent="0.2">
      <c r="A6">
        <v>5</v>
      </c>
      <c r="B6" t="s">
        <v>811</v>
      </c>
      <c r="C6" s="7">
        <v>0</v>
      </c>
      <c r="D6" s="7">
        <v>0</v>
      </c>
      <c r="E6" s="7">
        <v>0</v>
      </c>
      <c r="F6" s="7">
        <v>0</v>
      </c>
      <c r="G6" s="7">
        <v>0</v>
      </c>
      <c r="H6" s="7">
        <v>0</v>
      </c>
      <c r="I6" s="7">
        <v>0</v>
      </c>
      <c r="J6" s="7">
        <v>0</v>
      </c>
      <c r="K6" s="7">
        <v>0</v>
      </c>
      <c r="L6" s="7">
        <v>0</v>
      </c>
      <c r="M6" s="7">
        <v>0</v>
      </c>
      <c r="N6" s="7">
        <v>0</v>
      </c>
      <c r="O6" s="7">
        <v>0</v>
      </c>
      <c r="P6" s="7">
        <v>0</v>
      </c>
      <c r="Q6" s="7">
        <v>0</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dimension ref="A1:J29"/>
  <sheetViews>
    <sheetView topLeftCell="F3" zoomScale="150" workbookViewId="0">
      <selection activeCell="F26" sqref="F26"/>
    </sheetView>
  </sheetViews>
  <sheetFormatPr baseColWidth="10" defaultColWidth="10.6640625" defaultRowHeight="15" x14ac:dyDescent="0.2"/>
  <cols>
    <col min="1" max="1" width="2.83203125" bestFit="1" customWidth="1"/>
    <col min="3" max="3" width="9.5" bestFit="1" customWidth="1"/>
    <col min="4" max="4" width="11.5" bestFit="1" customWidth="1"/>
    <col min="5" max="5" width="13.6640625" bestFit="1" customWidth="1"/>
    <col min="6" max="6" width="14.33203125" bestFit="1" customWidth="1"/>
    <col min="7" max="7" width="11.33203125" bestFit="1" customWidth="1"/>
    <col min="8" max="8" width="8.33203125" bestFit="1" customWidth="1"/>
    <col min="9" max="9" width="14.33203125" bestFit="1" customWidth="1"/>
    <col min="10" max="10" width="18.6640625" customWidth="1"/>
  </cols>
  <sheetData>
    <row r="1" spans="1:10" x14ac:dyDescent="0.2">
      <c r="A1" t="s">
        <v>150</v>
      </c>
      <c r="B1" t="s">
        <v>151</v>
      </c>
      <c r="C1" t="s">
        <v>114</v>
      </c>
      <c r="D1" t="s">
        <v>117</v>
      </c>
      <c r="E1" t="s">
        <v>121</v>
      </c>
      <c r="F1" t="s">
        <v>125</v>
      </c>
      <c r="G1" t="s">
        <v>129</v>
      </c>
      <c r="H1" s="4" t="s">
        <v>152</v>
      </c>
      <c r="I1" t="s">
        <v>153</v>
      </c>
      <c r="J1" t="s">
        <v>154</v>
      </c>
    </row>
    <row r="2" spans="1:10" x14ac:dyDescent="0.2">
      <c r="A2">
        <f>Réponses!A2</f>
        <v>1</v>
      </c>
      <c r="B2" t="str">
        <f>Réponses!B2</f>
        <v>EntrepriseA</v>
      </c>
      <c r="C2" s="8">
        <f>AVERAGE(Réponses!C2:E2)</f>
        <v>1</v>
      </c>
      <c r="D2" s="8">
        <f>AVERAGE(Réponses!F2:H2)</f>
        <v>1</v>
      </c>
      <c r="E2" s="8">
        <f>AVERAGE(Réponses!I2:K2)</f>
        <v>1</v>
      </c>
      <c r="F2" s="8">
        <f>AVERAGE(Réponses!L2:N2)</f>
        <v>1</v>
      </c>
      <c r="G2" s="8">
        <f>AVERAGE(Réponses!O2:Q2)</f>
        <v>1</v>
      </c>
      <c r="H2" s="9">
        <f>AVERAGE(C2:G2)</f>
        <v>1</v>
      </c>
      <c r="I2" s="8">
        <f>AVEDEV(C2:G2)</f>
        <v>0</v>
      </c>
      <c r="J2" t="str">
        <f>_xlfn.XLOOKUP(MATCH(ROUNDUP(H2,0),Tableau1618[Score],)-1,NiveauMaturité!$A$3:$A$8,NiveauMaturité!$B$3:$B$8)</f>
        <v>En friche</v>
      </c>
    </row>
    <row r="3" spans="1:10" x14ac:dyDescent="0.2">
      <c r="A3">
        <f>Réponses!A3</f>
        <v>2</v>
      </c>
      <c r="B3" t="str">
        <f>Réponses!B3</f>
        <v>EntrepriseB</v>
      </c>
      <c r="C3" s="8">
        <f>AVERAGE(Réponses!C3:E3)</f>
        <v>3.3333333333333335</v>
      </c>
      <c r="D3" s="8">
        <f>AVERAGE(Réponses!F3:H3)</f>
        <v>3.3333333333333335</v>
      </c>
      <c r="E3" s="8">
        <f>AVERAGE(Réponses!I3:K3)</f>
        <v>2.6666666666666665</v>
      </c>
      <c r="F3" s="8">
        <f>AVERAGE(Réponses!L3:N3)</f>
        <v>2</v>
      </c>
      <c r="G3" s="8">
        <f>AVERAGE(Réponses!O3:Q3)</f>
        <v>1</v>
      </c>
      <c r="H3" s="9">
        <f>AVERAGE(C3:G3)</f>
        <v>2.4666666666666668</v>
      </c>
      <c r="I3" s="8">
        <f>AVEDEV(C3:G3)</f>
        <v>0.77333333333333332</v>
      </c>
      <c r="J3" t="str">
        <f>_xlfn.XLOOKUP(MATCH(ROUNDUP(H3,0),Tableau1618[Score],)-1,NiveauMaturité!$A$3:$A$8,NiveauMaturité!$B$3:$B$8)</f>
        <v>En chantier</v>
      </c>
    </row>
    <row r="4" spans="1:10" x14ac:dyDescent="0.2">
      <c r="A4">
        <f>Réponses!A4</f>
        <v>3</v>
      </c>
      <c r="B4" t="str">
        <f>Réponses!B4</f>
        <v>EntrepriseC</v>
      </c>
      <c r="C4" s="8">
        <f>AVERAGE(Réponses!C4:E4)</f>
        <v>5</v>
      </c>
      <c r="D4" s="8">
        <f>AVERAGE(Réponses!F4:H4)</f>
        <v>4.333333333333333</v>
      </c>
      <c r="E4" s="8">
        <f>AVERAGE(Réponses!I4:K4)</f>
        <v>2</v>
      </c>
      <c r="F4" s="8">
        <f>AVERAGE(Réponses!L4:N4)</f>
        <v>2</v>
      </c>
      <c r="G4" s="8">
        <f>AVERAGE(Réponses!O4:Q4)</f>
        <v>1</v>
      </c>
      <c r="H4" s="9">
        <f>AVERAGE(C4:G4)</f>
        <v>2.8666666666666663</v>
      </c>
      <c r="I4" s="8">
        <f>AVEDEV(C4:G4)</f>
        <v>1.44</v>
      </c>
      <c r="J4" t="str">
        <f>_xlfn.XLOOKUP(MATCH(ROUNDUP(H4,0),Tableau1618[Score],)-1,NiveauMaturité!$A$3:$A$8,NiveauMaturité!$B$3:$B$8)</f>
        <v>En chantier</v>
      </c>
    </row>
    <row r="5" spans="1:10" x14ac:dyDescent="0.2">
      <c r="A5">
        <f>Réponses!A5</f>
        <v>4</v>
      </c>
      <c r="B5" t="str">
        <f>Réponses!B5</f>
        <v>EntrepriseD</v>
      </c>
      <c r="C5" s="8">
        <f>AVERAGE(Réponses!C5:E5)</f>
        <v>1</v>
      </c>
      <c r="D5" s="8">
        <f>AVERAGE(Réponses!F5:H5)</f>
        <v>2.3333333333333335</v>
      </c>
      <c r="E5" s="8">
        <f>AVERAGE(Réponses!I5:K5)</f>
        <v>0.33333333333333331</v>
      </c>
      <c r="F5" s="8">
        <f>AVERAGE(Réponses!L5:N5)</f>
        <v>4.333333333333333</v>
      </c>
      <c r="G5" s="8">
        <f>AVERAGE(Réponses!O5:Q5)</f>
        <v>2</v>
      </c>
      <c r="H5" s="9">
        <f>AVERAGE(C5:G5)</f>
        <v>2</v>
      </c>
      <c r="I5" s="8">
        <f>AVEDEV(C5:G5)</f>
        <v>1.0666666666666667</v>
      </c>
      <c r="J5" t="str">
        <f>_xlfn.XLOOKUP(MATCH(ROUNDUP(H5,0),Tableau1618[Score],)-1,NiveauMaturité!$A$3:$A$8,NiveauMaturité!$B$3:$B$8)</f>
        <v>En exploration</v>
      </c>
    </row>
    <row r="6" spans="1:10" x14ac:dyDescent="0.2">
      <c r="A6">
        <f>Réponses!A6</f>
        <v>5</v>
      </c>
      <c r="B6" t="str">
        <f>Réponses!B6</f>
        <v>EntrepriseE</v>
      </c>
      <c r="C6" s="8">
        <f>AVERAGE(Réponses!C6:E6)</f>
        <v>0</v>
      </c>
      <c r="D6" s="8">
        <f>AVERAGE(Réponses!F6:H6)</f>
        <v>0</v>
      </c>
      <c r="E6" s="8">
        <f>AVERAGE(Réponses!I6:K6)</f>
        <v>0</v>
      </c>
      <c r="F6" s="8">
        <f>AVERAGE(Réponses!L6:N6)</f>
        <v>0</v>
      </c>
      <c r="G6" s="8">
        <f>AVERAGE(Réponses!O6:Q6)</f>
        <v>0</v>
      </c>
      <c r="H6" s="9">
        <f>AVERAGE(C6:G6)</f>
        <v>0</v>
      </c>
      <c r="I6" s="8">
        <f>AVEDEV(C6:G6)</f>
        <v>0</v>
      </c>
      <c r="J6" t="str">
        <f>_xlfn.XLOOKUP(MATCH(ROUNDUP(H6,0),Tableau1618[Score],)-1,NiveauMaturité!$A$3:$A$8,NiveauMaturité!$B$3:$B$8)</f>
        <v>Inexistant</v>
      </c>
    </row>
    <row r="8" spans="1:10" x14ac:dyDescent="0.2">
      <c r="J8" s="55"/>
    </row>
    <row r="24" spans="1:6" x14ac:dyDescent="0.2">
      <c r="A24" t="s">
        <v>150</v>
      </c>
      <c r="B24" t="s">
        <v>151</v>
      </c>
      <c r="C24" t="s">
        <v>55</v>
      </c>
      <c r="D24" t="s">
        <v>60</v>
      </c>
      <c r="E24" t="s">
        <v>64</v>
      </c>
      <c r="F24" t="s">
        <v>153</v>
      </c>
    </row>
    <row r="25" spans="1:6" x14ac:dyDescent="0.2">
      <c r="A25">
        <f>Réponses!A2</f>
        <v>1</v>
      </c>
      <c r="B25" t="str">
        <f>Réponses!B2</f>
        <v>EntrepriseA</v>
      </c>
      <c r="C25" s="8">
        <f>AVERAGE(Réponses!C2,Réponses!F2,Réponses!I2,Réponses!L2,Réponses!O2)</f>
        <v>1</v>
      </c>
      <c r="D25" s="8">
        <f>AVERAGE(Réponses!D2,Réponses!G2,Réponses!J2,Réponses!M2,Réponses!P2)</f>
        <v>1</v>
      </c>
      <c r="E25" s="8">
        <f>AVERAGE(Réponses!E2,Réponses!H2,Réponses!K2,Réponses!N2,Réponses!Q2)</f>
        <v>1</v>
      </c>
      <c r="F25" s="8">
        <f>AVEDEV(C25:E25)</f>
        <v>0</v>
      </c>
    </row>
    <row r="26" spans="1:6" x14ac:dyDescent="0.2">
      <c r="A26">
        <f>Réponses!A3</f>
        <v>2</v>
      </c>
      <c r="B26" t="str">
        <f>Réponses!B3</f>
        <v>EntrepriseB</v>
      </c>
      <c r="C26" s="8">
        <f>AVERAGE(Réponses!C3,Réponses!F3,Réponses!I3,Réponses!L3,Réponses!O3)</f>
        <v>3</v>
      </c>
      <c r="D26" s="8">
        <f>AVERAGE(Réponses!D3,Réponses!G3,Réponses!J3,Réponses!M3,Réponses!P3)</f>
        <v>2.4</v>
      </c>
      <c r="E26" s="8">
        <f>AVERAGE(Réponses!E3,Réponses!H3,Réponses!K3,Réponses!N3,Réponses!Q3)</f>
        <v>2</v>
      </c>
      <c r="F26" s="8">
        <f>AVEDEV(C26:E26)</f>
        <v>0.35555555555555562</v>
      </c>
    </row>
    <row r="27" spans="1:6" x14ac:dyDescent="0.2">
      <c r="A27">
        <f>Réponses!A4</f>
        <v>3</v>
      </c>
      <c r="B27" t="str">
        <f>Réponses!B4</f>
        <v>EntrepriseC</v>
      </c>
      <c r="C27" s="8">
        <f>AVERAGE(Réponses!C4,Réponses!F4,Réponses!I4,Réponses!L4,Réponses!O4)</f>
        <v>3.2</v>
      </c>
      <c r="D27" s="8">
        <f>AVERAGE(Réponses!D4,Réponses!G4,Réponses!J4,Réponses!M4,Réponses!P4)</f>
        <v>3</v>
      </c>
      <c r="E27" s="8">
        <f>AVERAGE(Réponses!E4,Réponses!H4,Réponses!K4,Réponses!N4,Réponses!Q4)</f>
        <v>2.4</v>
      </c>
      <c r="F27" s="8">
        <f>AVEDEV(C27:E27)</f>
        <v>0.31111111111111117</v>
      </c>
    </row>
    <row r="28" spans="1:6" x14ac:dyDescent="0.2">
      <c r="A28">
        <f>Réponses!A5</f>
        <v>4</v>
      </c>
      <c r="B28" t="str">
        <f>Réponses!B5</f>
        <v>EntrepriseD</v>
      </c>
      <c r="C28" s="8">
        <f>AVERAGE(Réponses!C5,Réponses!F5,Réponses!I5,Réponses!L5,Réponses!O5)</f>
        <v>1.8</v>
      </c>
      <c r="D28" s="8">
        <f>AVERAGE(Réponses!D5,Réponses!G5,Réponses!J5,Réponses!M5,Réponses!P5)</f>
        <v>2</v>
      </c>
      <c r="E28" s="8">
        <f>AVERAGE(Réponses!E5,Réponses!H5,Réponses!K5,Réponses!N5,Réponses!Q5)</f>
        <v>2.2000000000000002</v>
      </c>
      <c r="F28" s="8">
        <f>AVEDEV(C28:E28)</f>
        <v>0.13333333333333339</v>
      </c>
    </row>
    <row r="29" spans="1:6" x14ac:dyDescent="0.2">
      <c r="A29">
        <f>Réponses!A6</f>
        <v>5</v>
      </c>
      <c r="B29" t="str">
        <f>Réponses!B6</f>
        <v>EntrepriseE</v>
      </c>
      <c r="C29" s="8">
        <f>AVERAGE(Réponses!C6,Réponses!F6,Réponses!I6,Réponses!L6,Réponses!O6)</f>
        <v>0</v>
      </c>
      <c r="D29" s="8">
        <f>AVERAGE(Réponses!D6,Réponses!G6,Réponses!J6,Réponses!M6,Réponses!P6)</f>
        <v>0</v>
      </c>
      <c r="E29" s="8">
        <f>AVERAGE(Réponses!E6,Réponses!H6,Réponses!K6,Réponses!N6,Réponses!Q6)</f>
        <v>0</v>
      </c>
      <c r="F29" s="8">
        <f>AVEDEV(C29:E29)</f>
        <v>0</v>
      </c>
    </row>
  </sheetData>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dimension ref="A1:BS30"/>
  <sheetViews>
    <sheetView workbookViewId="0">
      <selection activeCell="BP15" sqref="BP15"/>
    </sheetView>
  </sheetViews>
  <sheetFormatPr baseColWidth="10" defaultColWidth="10.6640625" defaultRowHeight="15" x14ac:dyDescent="0.2"/>
  <cols>
    <col min="1" max="1" width="19.33203125" customWidth="1"/>
    <col min="10" max="12" width="3.1640625" bestFit="1" customWidth="1"/>
    <col min="13" max="15" width="2.33203125" bestFit="1" customWidth="1"/>
    <col min="18" max="23" width="4.1640625" customWidth="1"/>
    <col min="25" max="27" width="6.1640625" bestFit="1" customWidth="1"/>
    <col min="29" max="31" width="3.1640625" bestFit="1" customWidth="1"/>
    <col min="32" max="34" width="2.33203125" bestFit="1" customWidth="1"/>
    <col min="36" max="38" width="6.1640625" bestFit="1" customWidth="1"/>
    <col min="40" max="42" width="3.1640625" bestFit="1" customWidth="1"/>
    <col min="43" max="45" width="2" bestFit="1" customWidth="1"/>
    <col min="47" max="49" width="5.83203125" bestFit="1" customWidth="1"/>
    <col min="51" max="53" width="3.1640625" bestFit="1" customWidth="1"/>
    <col min="54" max="56" width="2" bestFit="1" customWidth="1"/>
    <col min="58" max="60" width="5.83203125" bestFit="1" customWidth="1"/>
    <col min="62" max="64" width="3.1640625" bestFit="1" customWidth="1"/>
    <col min="65" max="67" width="2" bestFit="1" customWidth="1"/>
    <col min="69" max="71" width="5.83203125" bestFit="1" customWidth="1"/>
  </cols>
  <sheetData>
    <row r="1" spans="1:71" x14ac:dyDescent="0.2">
      <c r="A1" s="3"/>
      <c r="B1" s="3" t="s">
        <v>155</v>
      </c>
      <c r="C1" s="3" t="s">
        <v>156</v>
      </c>
      <c r="D1" s="3" t="s">
        <v>157</v>
      </c>
      <c r="R1" s="59" t="s">
        <v>158</v>
      </c>
      <c r="S1" s="59"/>
      <c r="T1" s="59"/>
      <c r="U1" s="59"/>
      <c r="V1" s="59"/>
      <c r="W1" s="59"/>
      <c r="X1" s="59"/>
      <c r="Y1" s="59"/>
      <c r="Z1" s="59"/>
      <c r="AA1" s="59"/>
      <c r="AC1" s="59" t="s">
        <v>163</v>
      </c>
      <c r="AD1" s="59"/>
      <c r="AE1" s="59"/>
      <c r="AF1" s="59"/>
      <c r="AG1" s="59"/>
      <c r="AH1" s="59"/>
      <c r="AI1" s="59"/>
      <c r="AJ1" s="59"/>
      <c r="AK1" s="59"/>
      <c r="AL1" s="59"/>
      <c r="AN1" s="59" t="s">
        <v>779</v>
      </c>
      <c r="AO1" s="59"/>
      <c r="AP1" s="59"/>
      <c r="AQ1" s="59"/>
      <c r="AR1" s="59"/>
      <c r="AS1" s="59"/>
      <c r="AT1" s="59"/>
      <c r="AU1" s="59"/>
      <c r="AV1" s="59"/>
      <c r="AW1" s="59"/>
      <c r="AY1" s="59" t="s">
        <v>173</v>
      </c>
      <c r="AZ1" s="59"/>
      <c r="BA1" s="59"/>
      <c r="BB1" s="59"/>
      <c r="BC1" s="59"/>
      <c r="BD1" s="59"/>
      <c r="BE1" s="59"/>
      <c r="BF1" s="59"/>
      <c r="BG1" s="59"/>
      <c r="BH1" s="59"/>
      <c r="BJ1" s="59" t="s">
        <v>178</v>
      </c>
      <c r="BK1" s="59"/>
      <c r="BL1" s="59"/>
      <c r="BM1" s="59"/>
      <c r="BN1" s="59"/>
      <c r="BO1" s="59"/>
      <c r="BP1" s="59"/>
      <c r="BQ1" s="59"/>
      <c r="BR1" s="59"/>
      <c r="BS1" s="59"/>
    </row>
    <row r="2" spans="1:71" x14ac:dyDescent="0.2">
      <c r="A2" s="3" t="s">
        <v>158</v>
      </c>
      <c r="B2" s="4" t="str">
        <f t="shared" ref="B2:D6" si="0">"Q" &amp; J2 &amp; "!" &amp; M2</f>
        <v>Q01!D</v>
      </c>
      <c r="C2" s="4" t="str">
        <f t="shared" si="0"/>
        <v>Q02!D</v>
      </c>
      <c r="D2" s="4" t="str">
        <f t="shared" si="0"/>
        <v>Q03!D</v>
      </c>
      <c r="E2" s="3" t="s">
        <v>114</v>
      </c>
      <c r="J2" s="26" t="s">
        <v>159</v>
      </c>
      <c r="K2" s="26" t="s">
        <v>160</v>
      </c>
      <c r="L2" s="26" t="s">
        <v>161</v>
      </c>
      <c r="M2" t="s">
        <v>162</v>
      </c>
      <c r="N2" t="s">
        <v>162</v>
      </c>
      <c r="O2" t="s">
        <v>162</v>
      </c>
      <c r="R2" s="26" t="s">
        <v>159</v>
      </c>
      <c r="S2" s="26" t="s">
        <v>160</v>
      </c>
      <c r="T2" s="26" t="s">
        <v>161</v>
      </c>
      <c r="U2" t="s">
        <v>162</v>
      </c>
      <c r="V2" t="s">
        <v>162</v>
      </c>
      <c r="W2" t="s">
        <v>162</v>
      </c>
      <c r="Y2" t="str">
        <f t="shared" ref="Y2:AA6" si="1">"Q" &amp; R2 &amp; "!" &amp; U2</f>
        <v>Q01!D</v>
      </c>
      <c r="Z2" t="str">
        <f t="shared" si="1"/>
        <v>Q02!D</v>
      </c>
      <c r="AA2" t="str">
        <f t="shared" si="1"/>
        <v>Q03!D</v>
      </c>
      <c r="AC2" s="26" t="s">
        <v>159</v>
      </c>
      <c r="AD2" s="26" t="s">
        <v>160</v>
      </c>
      <c r="AE2" s="26" t="s">
        <v>161</v>
      </c>
      <c r="AF2" t="s">
        <v>164</v>
      </c>
      <c r="AG2" t="s">
        <v>164</v>
      </c>
      <c r="AH2" t="s">
        <v>164</v>
      </c>
      <c r="AJ2" t="str">
        <f t="shared" ref="AJ2:AJ6" si="2">"Q" &amp; AC2 &amp; "!" &amp; AF2</f>
        <v>Q01!E</v>
      </c>
      <c r="AK2" t="str">
        <f t="shared" ref="AK2:AK6" si="3">"Q" &amp; AD2 &amp; "!" &amp; AG2</f>
        <v>Q02!E</v>
      </c>
      <c r="AL2" t="str">
        <f t="shared" ref="AL2:AL6" si="4">"Q" &amp; AE2 &amp; "!" &amp; AH2</f>
        <v>Q03!E</v>
      </c>
      <c r="AN2" s="26" t="s">
        <v>159</v>
      </c>
      <c r="AO2" s="26" t="s">
        <v>160</v>
      </c>
      <c r="AP2" s="26" t="s">
        <v>161</v>
      </c>
      <c r="AQ2" t="s">
        <v>169</v>
      </c>
      <c r="AR2" t="s">
        <v>169</v>
      </c>
      <c r="AS2" t="s">
        <v>169</v>
      </c>
      <c r="AU2" t="str">
        <f t="shared" ref="AU2:AU6" si="5">"Q" &amp; AN2 &amp; "!" &amp; AQ2</f>
        <v>Q01!F</v>
      </c>
      <c r="AV2" t="str">
        <f t="shared" ref="AV2:AV6" si="6">"Q" &amp; AO2 &amp; "!" &amp; AR2</f>
        <v>Q02!F</v>
      </c>
      <c r="AW2" t="str">
        <f t="shared" ref="AW2:AW6" si="7">"Q" &amp; AP2 &amp; "!" &amp; AS2</f>
        <v>Q03!F</v>
      </c>
      <c r="AY2" s="26" t="s">
        <v>159</v>
      </c>
      <c r="AZ2" s="26" t="s">
        <v>160</v>
      </c>
      <c r="BA2" s="26" t="s">
        <v>161</v>
      </c>
      <c r="BB2" t="s">
        <v>174</v>
      </c>
      <c r="BC2" t="s">
        <v>174</v>
      </c>
      <c r="BD2" t="s">
        <v>174</v>
      </c>
      <c r="BF2" t="str">
        <f t="shared" ref="BF2:BF6" si="8">"Q" &amp; AY2 &amp; "!" &amp; BB2</f>
        <v>Q01!G</v>
      </c>
      <c r="BG2" t="str">
        <f t="shared" ref="BG2:BG6" si="9">"Q" &amp; AZ2 &amp; "!" &amp; BC2</f>
        <v>Q02!G</v>
      </c>
      <c r="BH2" t="str">
        <f t="shared" ref="BH2:BH6" si="10">"Q" &amp; BA2 &amp; "!" &amp; BD2</f>
        <v>Q03!G</v>
      </c>
      <c r="BJ2" s="26" t="s">
        <v>159</v>
      </c>
      <c r="BK2" s="26" t="s">
        <v>160</v>
      </c>
      <c r="BL2" s="26" t="s">
        <v>161</v>
      </c>
      <c r="BM2" t="s">
        <v>179</v>
      </c>
      <c r="BN2" t="s">
        <v>179</v>
      </c>
      <c r="BO2" t="s">
        <v>179</v>
      </c>
      <c r="BQ2" t="str">
        <f t="shared" ref="BQ2:BQ6" si="11">"Q" &amp; BJ2 &amp; "!" &amp; BM2</f>
        <v>Q01!H</v>
      </c>
      <c r="BR2" t="str">
        <f t="shared" ref="BR2:BR6" si="12">"Q" &amp; BK2 &amp; "!" &amp; BN2</f>
        <v>Q02!H</v>
      </c>
      <c r="BS2" t="str">
        <f t="shared" ref="BS2:BS6" si="13">"Q" &amp; BL2 &amp; "!" &amp; BO2</f>
        <v>Q03!H</v>
      </c>
    </row>
    <row r="3" spans="1:71" x14ac:dyDescent="0.2">
      <c r="A3" s="3" t="s">
        <v>163</v>
      </c>
      <c r="B3" s="4" t="str">
        <f t="shared" si="0"/>
        <v>Q01!E</v>
      </c>
      <c r="C3" s="4" t="str">
        <f t="shared" si="0"/>
        <v>Q02!E</v>
      </c>
      <c r="D3" s="4" t="str">
        <f t="shared" si="0"/>
        <v>Q03!E</v>
      </c>
      <c r="J3" s="26" t="s">
        <v>159</v>
      </c>
      <c r="K3" s="26" t="s">
        <v>160</v>
      </c>
      <c r="L3" s="26" t="s">
        <v>161</v>
      </c>
      <c r="M3" t="s">
        <v>164</v>
      </c>
      <c r="N3" t="s">
        <v>164</v>
      </c>
      <c r="O3" t="s">
        <v>164</v>
      </c>
      <c r="R3" s="26" t="s">
        <v>165</v>
      </c>
      <c r="S3" s="26" t="s">
        <v>166</v>
      </c>
      <c r="T3" s="26" t="s">
        <v>167</v>
      </c>
      <c r="U3" t="s">
        <v>162</v>
      </c>
      <c r="V3" t="s">
        <v>162</v>
      </c>
      <c r="W3" t="s">
        <v>162</v>
      </c>
      <c r="Y3" t="str">
        <f t="shared" si="1"/>
        <v>Q04!D</v>
      </c>
      <c r="Z3" t="str">
        <f t="shared" si="1"/>
        <v>Q05!D</v>
      </c>
      <c r="AA3" t="str">
        <f t="shared" si="1"/>
        <v>Q06!D</v>
      </c>
      <c r="AC3" s="26" t="s">
        <v>165</v>
      </c>
      <c r="AD3" s="26" t="s">
        <v>166</v>
      </c>
      <c r="AE3" s="26" t="s">
        <v>167</v>
      </c>
      <c r="AF3" t="s">
        <v>164</v>
      </c>
      <c r="AG3" t="s">
        <v>164</v>
      </c>
      <c r="AH3" t="s">
        <v>164</v>
      </c>
      <c r="AJ3" t="str">
        <f t="shared" si="2"/>
        <v>Q04!E</v>
      </c>
      <c r="AK3" t="str">
        <f t="shared" si="3"/>
        <v>Q05!E</v>
      </c>
      <c r="AL3" t="str">
        <f t="shared" si="4"/>
        <v>Q06!E</v>
      </c>
      <c r="AN3" s="26" t="s">
        <v>165</v>
      </c>
      <c r="AO3" s="26" t="s">
        <v>166</v>
      </c>
      <c r="AP3" s="26" t="s">
        <v>167</v>
      </c>
      <c r="AQ3" t="s">
        <v>169</v>
      </c>
      <c r="AR3" t="s">
        <v>169</v>
      </c>
      <c r="AS3" t="s">
        <v>169</v>
      </c>
      <c r="AU3" t="str">
        <f t="shared" si="5"/>
        <v>Q04!F</v>
      </c>
      <c r="AV3" t="str">
        <f t="shared" si="6"/>
        <v>Q05!F</v>
      </c>
      <c r="AW3" t="str">
        <f t="shared" si="7"/>
        <v>Q06!F</v>
      </c>
      <c r="AY3" s="26" t="s">
        <v>165</v>
      </c>
      <c r="AZ3" s="26" t="s">
        <v>166</v>
      </c>
      <c r="BA3" s="26" t="s">
        <v>167</v>
      </c>
      <c r="BB3" t="s">
        <v>174</v>
      </c>
      <c r="BC3" t="s">
        <v>174</v>
      </c>
      <c r="BD3" t="s">
        <v>174</v>
      </c>
      <c r="BF3" t="str">
        <f t="shared" si="8"/>
        <v>Q04!G</v>
      </c>
      <c r="BG3" t="str">
        <f t="shared" si="9"/>
        <v>Q05!G</v>
      </c>
      <c r="BH3" t="str">
        <f t="shared" si="10"/>
        <v>Q06!G</v>
      </c>
      <c r="BJ3" s="26" t="s">
        <v>165</v>
      </c>
      <c r="BK3" s="26" t="s">
        <v>166</v>
      </c>
      <c r="BL3" s="26" t="s">
        <v>167</v>
      </c>
      <c r="BM3" t="s">
        <v>179</v>
      </c>
      <c r="BN3" t="s">
        <v>179</v>
      </c>
      <c r="BO3" t="s">
        <v>179</v>
      </c>
      <c r="BQ3" t="str">
        <f t="shared" si="11"/>
        <v>Q04!H</v>
      </c>
      <c r="BR3" t="str">
        <f t="shared" si="12"/>
        <v>Q05!H</v>
      </c>
      <c r="BS3" t="str">
        <f t="shared" si="13"/>
        <v>Q06!H</v>
      </c>
    </row>
    <row r="4" spans="1:71" x14ac:dyDescent="0.2">
      <c r="A4" s="3" t="s">
        <v>168</v>
      </c>
      <c r="B4" s="4" t="str">
        <f t="shared" si="0"/>
        <v>Q01!F</v>
      </c>
      <c r="C4" s="4" t="str">
        <f t="shared" si="0"/>
        <v>Q02!F</v>
      </c>
      <c r="D4" s="4" t="str">
        <f t="shared" si="0"/>
        <v>Q03!F</v>
      </c>
      <c r="J4" s="26" t="s">
        <v>159</v>
      </c>
      <c r="K4" s="26" t="s">
        <v>160</v>
      </c>
      <c r="L4" s="26" t="s">
        <v>161</v>
      </c>
      <c r="M4" t="s">
        <v>169</v>
      </c>
      <c r="N4" t="s">
        <v>169</v>
      </c>
      <c r="O4" t="s">
        <v>169</v>
      </c>
      <c r="R4" s="26" t="s">
        <v>170</v>
      </c>
      <c r="S4" s="26" t="s">
        <v>171</v>
      </c>
      <c r="T4" s="26" t="s">
        <v>172</v>
      </c>
      <c r="U4" t="s">
        <v>162</v>
      </c>
      <c r="V4" t="s">
        <v>162</v>
      </c>
      <c r="W4" t="s">
        <v>162</v>
      </c>
      <c r="Y4" t="str">
        <f t="shared" si="1"/>
        <v>Q07!D</v>
      </c>
      <c r="Z4" t="str">
        <f t="shared" si="1"/>
        <v>Q08!D</v>
      </c>
      <c r="AA4" t="str">
        <f t="shared" si="1"/>
        <v>Q09!D</v>
      </c>
      <c r="AC4" s="26" t="s">
        <v>170</v>
      </c>
      <c r="AD4" s="26" t="s">
        <v>171</v>
      </c>
      <c r="AE4" s="26" t="s">
        <v>172</v>
      </c>
      <c r="AF4" t="s">
        <v>164</v>
      </c>
      <c r="AG4" t="s">
        <v>164</v>
      </c>
      <c r="AH4" t="s">
        <v>164</v>
      </c>
      <c r="AJ4" t="str">
        <f t="shared" si="2"/>
        <v>Q07!E</v>
      </c>
      <c r="AK4" t="str">
        <f t="shared" si="3"/>
        <v>Q08!E</v>
      </c>
      <c r="AL4" t="str">
        <f t="shared" si="4"/>
        <v>Q09!E</v>
      </c>
      <c r="AN4" s="26" t="s">
        <v>170</v>
      </c>
      <c r="AO4" s="26" t="s">
        <v>171</v>
      </c>
      <c r="AP4" s="26" t="s">
        <v>172</v>
      </c>
      <c r="AQ4" t="s">
        <v>169</v>
      </c>
      <c r="AR4" t="s">
        <v>169</v>
      </c>
      <c r="AS4" t="s">
        <v>169</v>
      </c>
      <c r="AU4" t="str">
        <f t="shared" si="5"/>
        <v>Q07!F</v>
      </c>
      <c r="AV4" t="str">
        <f t="shared" si="6"/>
        <v>Q08!F</v>
      </c>
      <c r="AW4" t="str">
        <f t="shared" si="7"/>
        <v>Q09!F</v>
      </c>
      <c r="AY4" s="26" t="s">
        <v>170</v>
      </c>
      <c r="AZ4" s="26" t="s">
        <v>171</v>
      </c>
      <c r="BA4" s="26" t="s">
        <v>172</v>
      </c>
      <c r="BB4" t="s">
        <v>174</v>
      </c>
      <c r="BC4" t="s">
        <v>174</v>
      </c>
      <c r="BD4" t="s">
        <v>174</v>
      </c>
      <c r="BF4" t="str">
        <f t="shared" si="8"/>
        <v>Q07!G</v>
      </c>
      <c r="BG4" t="str">
        <f t="shared" si="9"/>
        <v>Q08!G</v>
      </c>
      <c r="BH4" t="str">
        <f t="shared" si="10"/>
        <v>Q09!G</v>
      </c>
      <c r="BJ4" s="26" t="s">
        <v>170</v>
      </c>
      <c r="BK4" s="26" t="s">
        <v>171</v>
      </c>
      <c r="BL4" s="26" t="s">
        <v>172</v>
      </c>
      <c r="BM4" t="s">
        <v>179</v>
      </c>
      <c r="BN4" t="s">
        <v>179</v>
      </c>
      <c r="BO4" t="s">
        <v>179</v>
      </c>
      <c r="BQ4" t="str">
        <f t="shared" si="11"/>
        <v>Q07!H</v>
      </c>
      <c r="BR4" t="str">
        <f t="shared" si="12"/>
        <v>Q08!H</v>
      </c>
      <c r="BS4" t="str">
        <f t="shared" si="13"/>
        <v>Q09!H</v>
      </c>
    </row>
    <row r="5" spans="1:71" x14ac:dyDescent="0.2">
      <c r="A5" s="3" t="s">
        <v>173</v>
      </c>
      <c r="B5" s="4" t="str">
        <f t="shared" si="0"/>
        <v>Q01!G</v>
      </c>
      <c r="C5" s="4" t="str">
        <f t="shared" si="0"/>
        <v>Q02!G</v>
      </c>
      <c r="D5" s="4" t="str">
        <f t="shared" si="0"/>
        <v>Q03!G</v>
      </c>
      <c r="J5" s="26" t="s">
        <v>159</v>
      </c>
      <c r="K5" s="26" t="s">
        <v>160</v>
      </c>
      <c r="L5" s="26" t="s">
        <v>161</v>
      </c>
      <c r="M5" t="s">
        <v>174</v>
      </c>
      <c r="N5" t="s">
        <v>174</v>
      </c>
      <c r="O5" t="s">
        <v>174</v>
      </c>
      <c r="R5" s="26" t="s">
        <v>175</v>
      </c>
      <c r="S5" s="26" t="s">
        <v>176</v>
      </c>
      <c r="T5" s="26" t="s">
        <v>177</v>
      </c>
      <c r="U5" t="s">
        <v>162</v>
      </c>
      <c r="V5" t="s">
        <v>162</v>
      </c>
      <c r="W5" t="s">
        <v>162</v>
      </c>
      <c r="Y5" t="str">
        <f t="shared" si="1"/>
        <v>Q10!D</v>
      </c>
      <c r="Z5" t="str">
        <f t="shared" si="1"/>
        <v>Q11!D</v>
      </c>
      <c r="AA5" t="str">
        <f t="shared" si="1"/>
        <v>Q12!D</v>
      </c>
      <c r="AC5" s="26" t="s">
        <v>175</v>
      </c>
      <c r="AD5" s="26" t="s">
        <v>176</v>
      </c>
      <c r="AE5" s="26" t="s">
        <v>177</v>
      </c>
      <c r="AF5" t="s">
        <v>164</v>
      </c>
      <c r="AG5" t="s">
        <v>164</v>
      </c>
      <c r="AH5" t="s">
        <v>164</v>
      </c>
      <c r="AJ5" t="str">
        <f t="shared" si="2"/>
        <v>Q10!E</v>
      </c>
      <c r="AK5" t="str">
        <f t="shared" si="3"/>
        <v>Q11!E</v>
      </c>
      <c r="AL5" t="str">
        <f t="shared" si="4"/>
        <v>Q12!E</v>
      </c>
      <c r="AN5" s="26" t="s">
        <v>175</v>
      </c>
      <c r="AO5" s="26" t="s">
        <v>176</v>
      </c>
      <c r="AP5" s="26" t="s">
        <v>177</v>
      </c>
      <c r="AQ5" t="s">
        <v>169</v>
      </c>
      <c r="AR5" t="s">
        <v>169</v>
      </c>
      <c r="AS5" t="s">
        <v>169</v>
      </c>
      <c r="AU5" t="str">
        <f t="shared" si="5"/>
        <v>Q10!F</v>
      </c>
      <c r="AV5" t="str">
        <f t="shared" si="6"/>
        <v>Q11!F</v>
      </c>
      <c r="AW5" t="str">
        <f t="shared" si="7"/>
        <v>Q12!F</v>
      </c>
      <c r="AY5" s="26" t="s">
        <v>175</v>
      </c>
      <c r="AZ5" s="26" t="s">
        <v>176</v>
      </c>
      <c r="BA5" s="26" t="s">
        <v>177</v>
      </c>
      <c r="BB5" t="s">
        <v>174</v>
      </c>
      <c r="BC5" t="s">
        <v>174</v>
      </c>
      <c r="BD5" t="s">
        <v>174</v>
      </c>
      <c r="BF5" t="str">
        <f t="shared" si="8"/>
        <v>Q10!G</v>
      </c>
      <c r="BG5" t="str">
        <f t="shared" si="9"/>
        <v>Q11!G</v>
      </c>
      <c r="BH5" t="str">
        <f t="shared" si="10"/>
        <v>Q12!G</v>
      </c>
      <c r="BJ5" s="26" t="s">
        <v>175</v>
      </c>
      <c r="BK5" s="26" t="s">
        <v>176</v>
      </c>
      <c r="BL5" s="26" t="s">
        <v>177</v>
      </c>
      <c r="BM5" t="s">
        <v>179</v>
      </c>
      <c r="BN5" t="s">
        <v>179</v>
      </c>
      <c r="BO5" t="s">
        <v>179</v>
      </c>
      <c r="BQ5" t="str">
        <f t="shared" si="11"/>
        <v>Q10!H</v>
      </c>
      <c r="BR5" t="str">
        <f t="shared" si="12"/>
        <v>Q11!H</v>
      </c>
      <c r="BS5" t="str">
        <f t="shared" si="13"/>
        <v>Q12!H</v>
      </c>
    </row>
    <row r="6" spans="1:71" x14ac:dyDescent="0.2">
      <c r="A6" s="3" t="s">
        <v>178</v>
      </c>
      <c r="B6" s="4" t="str">
        <f t="shared" si="0"/>
        <v>Q01!H</v>
      </c>
      <c r="C6" s="4" t="str">
        <f t="shared" si="0"/>
        <v>Q02!H</v>
      </c>
      <c r="D6" s="4" t="str">
        <f t="shared" si="0"/>
        <v>Q03!H</v>
      </c>
      <c r="J6" s="26" t="s">
        <v>159</v>
      </c>
      <c r="K6" s="26" t="s">
        <v>160</v>
      </c>
      <c r="L6" s="26" t="s">
        <v>161</v>
      </c>
      <c r="M6" t="s">
        <v>179</v>
      </c>
      <c r="N6" t="s">
        <v>179</v>
      </c>
      <c r="O6" t="s">
        <v>179</v>
      </c>
      <c r="R6" s="26" t="s">
        <v>180</v>
      </c>
      <c r="S6" s="26" t="s">
        <v>181</v>
      </c>
      <c r="T6" s="26" t="s">
        <v>182</v>
      </c>
      <c r="U6" t="s">
        <v>162</v>
      </c>
      <c r="V6" t="s">
        <v>162</v>
      </c>
      <c r="W6" t="s">
        <v>162</v>
      </c>
      <c r="Y6" t="str">
        <f t="shared" si="1"/>
        <v>Q13!D</v>
      </c>
      <c r="Z6" t="str">
        <f t="shared" si="1"/>
        <v>Q14!D</v>
      </c>
      <c r="AA6" t="str">
        <f t="shared" si="1"/>
        <v>Q15!D</v>
      </c>
      <c r="AC6" s="26" t="s">
        <v>180</v>
      </c>
      <c r="AD6" s="26" t="s">
        <v>181</v>
      </c>
      <c r="AE6" s="26" t="s">
        <v>182</v>
      </c>
      <c r="AF6" t="s">
        <v>164</v>
      </c>
      <c r="AG6" t="s">
        <v>164</v>
      </c>
      <c r="AH6" t="s">
        <v>164</v>
      </c>
      <c r="AJ6" t="str">
        <f t="shared" si="2"/>
        <v>Q13!E</v>
      </c>
      <c r="AK6" t="str">
        <f t="shared" si="3"/>
        <v>Q14!E</v>
      </c>
      <c r="AL6" t="str">
        <f t="shared" si="4"/>
        <v>Q15!E</v>
      </c>
      <c r="AN6" s="26" t="s">
        <v>180</v>
      </c>
      <c r="AO6" s="26" t="s">
        <v>181</v>
      </c>
      <c r="AP6" s="26" t="s">
        <v>182</v>
      </c>
      <c r="AQ6" t="s">
        <v>169</v>
      </c>
      <c r="AR6" t="s">
        <v>169</v>
      </c>
      <c r="AS6" t="s">
        <v>169</v>
      </c>
      <c r="AU6" t="str">
        <f t="shared" si="5"/>
        <v>Q13!F</v>
      </c>
      <c r="AV6" t="str">
        <f t="shared" si="6"/>
        <v>Q14!F</v>
      </c>
      <c r="AW6" t="str">
        <f t="shared" si="7"/>
        <v>Q15!F</v>
      </c>
      <c r="AY6" s="26" t="s">
        <v>180</v>
      </c>
      <c r="AZ6" s="26" t="s">
        <v>181</v>
      </c>
      <c r="BA6" s="26" t="s">
        <v>182</v>
      </c>
      <c r="BB6" t="s">
        <v>174</v>
      </c>
      <c r="BC6" t="s">
        <v>174</v>
      </c>
      <c r="BD6" t="s">
        <v>174</v>
      </c>
      <c r="BF6" t="str">
        <f t="shared" si="8"/>
        <v>Q13!G</v>
      </c>
      <c r="BG6" t="str">
        <f t="shared" si="9"/>
        <v>Q14!G</v>
      </c>
      <c r="BH6" t="str">
        <f t="shared" si="10"/>
        <v>Q15!G</v>
      </c>
      <c r="BJ6" s="26" t="s">
        <v>180</v>
      </c>
      <c r="BK6" s="26" t="s">
        <v>181</v>
      </c>
      <c r="BL6" s="26" t="s">
        <v>182</v>
      </c>
      <c r="BM6" t="s">
        <v>179</v>
      </c>
      <c r="BN6" t="s">
        <v>179</v>
      </c>
      <c r="BO6" t="s">
        <v>179</v>
      </c>
      <c r="BQ6" t="str">
        <f t="shared" si="11"/>
        <v>Q13!H</v>
      </c>
      <c r="BR6" t="str">
        <f t="shared" si="12"/>
        <v>Q14!H</v>
      </c>
      <c r="BS6" t="str">
        <f t="shared" si="13"/>
        <v>Q15!H</v>
      </c>
    </row>
    <row r="8" spans="1:71" x14ac:dyDescent="0.2">
      <c r="A8" s="3" t="s">
        <v>158</v>
      </c>
      <c r="B8" s="4" t="str">
        <f t="shared" ref="B8:D12" si="14">"Q" &amp; J8 &amp; "!" &amp; M8</f>
        <v>Q04!D</v>
      </c>
      <c r="C8" s="4" t="str">
        <f t="shared" si="14"/>
        <v>Q05!D</v>
      </c>
      <c r="D8" s="4" t="str">
        <f t="shared" si="14"/>
        <v>Q06!D</v>
      </c>
      <c r="E8" s="3" t="s">
        <v>117</v>
      </c>
      <c r="J8" s="26" t="s">
        <v>165</v>
      </c>
      <c r="K8" s="26" t="s">
        <v>166</v>
      </c>
      <c r="L8" s="26" t="s">
        <v>167</v>
      </c>
      <c r="M8" t="s">
        <v>162</v>
      </c>
      <c r="N8" t="s">
        <v>162</v>
      </c>
      <c r="O8" t="s">
        <v>162</v>
      </c>
    </row>
    <row r="9" spans="1:71" x14ac:dyDescent="0.2">
      <c r="A9" s="3" t="s">
        <v>163</v>
      </c>
      <c r="B9" s="4" t="str">
        <f t="shared" si="14"/>
        <v>Q04!E</v>
      </c>
      <c r="C9" s="4" t="str">
        <f t="shared" si="14"/>
        <v>Q05!E</v>
      </c>
      <c r="D9" s="4" t="str">
        <f t="shared" si="14"/>
        <v>Q06!E</v>
      </c>
      <c r="J9" s="26" t="s">
        <v>165</v>
      </c>
      <c r="K9" s="26" t="s">
        <v>166</v>
      </c>
      <c r="L9" s="26" t="s">
        <v>167</v>
      </c>
      <c r="M9" t="s">
        <v>164</v>
      </c>
      <c r="N9" t="s">
        <v>164</v>
      </c>
      <c r="O9" t="s">
        <v>164</v>
      </c>
    </row>
    <row r="10" spans="1:71" x14ac:dyDescent="0.2">
      <c r="A10" s="3" t="s">
        <v>168</v>
      </c>
      <c r="B10" s="4" t="str">
        <f t="shared" si="14"/>
        <v>Q04!F</v>
      </c>
      <c r="C10" s="4" t="str">
        <f t="shared" si="14"/>
        <v>Q05!F</v>
      </c>
      <c r="D10" s="4" t="str">
        <f t="shared" si="14"/>
        <v>Q06!F</v>
      </c>
      <c r="J10" s="26" t="s">
        <v>165</v>
      </c>
      <c r="K10" s="26" t="s">
        <v>166</v>
      </c>
      <c r="L10" s="26" t="s">
        <v>167</v>
      </c>
      <c r="M10" t="s">
        <v>169</v>
      </c>
      <c r="N10" t="s">
        <v>169</v>
      </c>
      <c r="O10" t="s">
        <v>169</v>
      </c>
    </row>
    <row r="11" spans="1:71" x14ac:dyDescent="0.2">
      <c r="A11" s="3" t="s">
        <v>173</v>
      </c>
      <c r="B11" s="4" t="str">
        <f t="shared" si="14"/>
        <v>Q04!G</v>
      </c>
      <c r="C11" s="4" t="str">
        <f t="shared" si="14"/>
        <v>Q05!G</v>
      </c>
      <c r="D11" s="4" t="str">
        <f t="shared" si="14"/>
        <v>Q06!G</v>
      </c>
      <c r="J11" s="26" t="s">
        <v>165</v>
      </c>
      <c r="K11" s="26" t="s">
        <v>166</v>
      </c>
      <c r="L11" s="26" t="s">
        <v>167</v>
      </c>
      <c r="M11" t="s">
        <v>174</v>
      </c>
      <c r="N11" t="s">
        <v>174</v>
      </c>
      <c r="O11" t="s">
        <v>174</v>
      </c>
    </row>
    <row r="12" spans="1:71" x14ac:dyDescent="0.2">
      <c r="A12" s="3" t="s">
        <v>178</v>
      </c>
      <c r="B12" s="4" t="str">
        <f t="shared" si="14"/>
        <v>Q04!H</v>
      </c>
      <c r="C12" s="4" t="str">
        <f t="shared" si="14"/>
        <v>Q05!H</v>
      </c>
      <c r="D12" s="4" t="str">
        <f t="shared" si="14"/>
        <v>Q06!H</v>
      </c>
      <c r="J12" s="26" t="s">
        <v>165</v>
      </c>
      <c r="K12" s="26" t="s">
        <v>166</v>
      </c>
      <c r="L12" s="26" t="s">
        <v>167</v>
      </c>
      <c r="M12" t="s">
        <v>179</v>
      </c>
      <c r="N12" t="s">
        <v>179</v>
      </c>
      <c r="O12" t="s">
        <v>179</v>
      </c>
      <c r="R12" s="3" t="s">
        <v>114</v>
      </c>
    </row>
    <row r="13" spans="1:71" x14ac:dyDescent="0.2">
      <c r="B13" s="3"/>
      <c r="R13" s="3" t="s">
        <v>117</v>
      </c>
    </row>
    <row r="14" spans="1:71" x14ac:dyDescent="0.2">
      <c r="A14" s="3" t="s">
        <v>158</v>
      </c>
      <c r="B14" s="4" t="str">
        <f t="shared" ref="B14:D18" si="15">"Q" &amp; J14 &amp; "!" &amp; M14</f>
        <v>Q07!D</v>
      </c>
      <c r="C14" s="4" t="str">
        <f t="shared" si="15"/>
        <v>Q08!D</v>
      </c>
      <c r="D14" s="4" t="str">
        <f t="shared" si="15"/>
        <v>Q09!D</v>
      </c>
      <c r="E14" s="3" t="s">
        <v>121</v>
      </c>
      <c r="J14" s="26" t="s">
        <v>170</v>
      </c>
      <c r="K14" s="26" t="s">
        <v>171</v>
      </c>
      <c r="L14" s="26" t="s">
        <v>172</v>
      </c>
      <c r="M14" t="s">
        <v>162</v>
      </c>
      <c r="N14" t="s">
        <v>162</v>
      </c>
      <c r="O14" t="s">
        <v>162</v>
      </c>
      <c r="R14" s="3" t="s">
        <v>121</v>
      </c>
    </row>
    <row r="15" spans="1:71" x14ac:dyDescent="0.2">
      <c r="A15" s="3" t="s">
        <v>163</v>
      </c>
      <c r="B15" s="4" t="str">
        <f t="shared" si="15"/>
        <v>Q07!E</v>
      </c>
      <c r="C15" s="4" t="str">
        <f t="shared" si="15"/>
        <v>Q08!E</v>
      </c>
      <c r="D15" s="4" t="str">
        <f t="shared" si="15"/>
        <v>Q09!E</v>
      </c>
      <c r="J15" s="26" t="s">
        <v>170</v>
      </c>
      <c r="K15" s="26" t="s">
        <v>171</v>
      </c>
      <c r="L15" s="26" t="s">
        <v>172</v>
      </c>
      <c r="M15" t="s">
        <v>164</v>
      </c>
      <c r="N15" t="s">
        <v>164</v>
      </c>
      <c r="O15" t="s">
        <v>164</v>
      </c>
      <c r="R15" s="3" t="s">
        <v>125</v>
      </c>
    </row>
    <row r="16" spans="1:71" x14ac:dyDescent="0.2">
      <c r="A16" s="3" t="s">
        <v>168</v>
      </c>
      <c r="B16" s="4" t="str">
        <f t="shared" si="15"/>
        <v>Q07!F</v>
      </c>
      <c r="C16" s="4" t="str">
        <f t="shared" si="15"/>
        <v>Q08!F</v>
      </c>
      <c r="D16" s="4" t="str">
        <f t="shared" si="15"/>
        <v>Q09!F</v>
      </c>
      <c r="J16" s="26" t="s">
        <v>170</v>
      </c>
      <c r="K16" s="26" t="s">
        <v>171</v>
      </c>
      <c r="L16" s="26" t="s">
        <v>172</v>
      </c>
      <c r="M16" t="s">
        <v>169</v>
      </c>
      <c r="N16" t="s">
        <v>169</v>
      </c>
      <c r="O16" t="s">
        <v>169</v>
      </c>
      <c r="R16" s="3" t="s">
        <v>129</v>
      </c>
    </row>
    <row r="17" spans="1:18" x14ac:dyDescent="0.2">
      <c r="A17" s="3" t="s">
        <v>173</v>
      </c>
      <c r="B17" s="4" t="str">
        <f t="shared" si="15"/>
        <v>Q07!G</v>
      </c>
      <c r="C17" s="4" t="str">
        <f t="shared" si="15"/>
        <v>Q08!G</v>
      </c>
      <c r="D17" s="4" t="str">
        <f t="shared" si="15"/>
        <v>Q09!G</v>
      </c>
      <c r="J17" s="26" t="s">
        <v>170</v>
      </c>
      <c r="K17" s="26" t="s">
        <v>171</v>
      </c>
      <c r="L17" s="26" t="s">
        <v>172</v>
      </c>
      <c r="M17" t="s">
        <v>174</v>
      </c>
      <c r="N17" t="s">
        <v>174</v>
      </c>
      <c r="O17" t="s">
        <v>174</v>
      </c>
    </row>
    <row r="18" spans="1:18" x14ac:dyDescent="0.2">
      <c r="A18" s="3" t="s">
        <v>178</v>
      </c>
      <c r="B18" s="4" t="str">
        <f t="shared" si="15"/>
        <v>Q07!H</v>
      </c>
      <c r="C18" s="4" t="str">
        <f t="shared" si="15"/>
        <v>Q08!H</v>
      </c>
      <c r="D18" s="4" t="str">
        <f t="shared" si="15"/>
        <v>Q09!H</v>
      </c>
      <c r="J18" s="26" t="s">
        <v>170</v>
      </c>
      <c r="K18" s="26" t="s">
        <v>171</v>
      </c>
      <c r="L18" s="26" t="s">
        <v>172</v>
      </c>
      <c r="M18" t="s">
        <v>179</v>
      </c>
      <c r="N18" t="s">
        <v>179</v>
      </c>
      <c r="O18" t="s">
        <v>179</v>
      </c>
      <c r="Q18" s="4" t="s">
        <v>183</v>
      </c>
    </row>
    <row r="19" spans="1:18" x14ac:dyDescent="0.2">
      <c r="R19" s="3" t="s">
        <v>158</v>
      </c>
    </row>
    <row r="20" spans="1:18" x14ac:dyDescent="0.2">
      <c r="A20" s="3" t="s">
        <v>158</v>
      </c>
      <c r="B20" s="4" t="str">
        <f t="shared" ref="B20:D24" si="16">"Q" &amp; J20 &amp; "!" &amp; M20</f>
        <v>Q10!D</v>
      </c>
      <c r="C20" s="4" t="str">
        <f t="shared" si="16"/>
        <v>Q11!D</v>
      </c>
      <c r="D20" s="4" t="str">
        <f t="shared" si="16"/>
        <v>Q12!D</v>
      </c>
      <c r="E20" s="3" t="s">
        <v>125</v>
      </c>
      <c r="J20" s="26" t="s">
        <v>175</v>
      </c>
      <c r="K20" s="26" t="s">
        <v>176</v>
      </c>
      <c r="L20" s="26" t="s">
        <v>177</v>
      </c>
      <c r="M20" t="s">
        <v>162</v>
      </c>
      <c r="N20" t="s">
        <v>162</v>
      </c>
      <c r="O20" t="s">
        <v>162</v>
      </c>
      <c r="R20" s="3" t="s">
        <v>163</v>
      </c>
    </row>
    <row r="21" spans="1:18" x14ac:dyDescent="0.2">
      <c r="A21" s="3" t="s">
        <v>163</v>
      </c>
      <c r="B21" s="4" t="str">
        <f t="shared" si="16"/>
        <v>Q10!E</v>
      </c>
      <c r="C21" s="4" t="str">
        <f t="shared" si="16"/>
        <v>Q11!E</v>
      </c>
      <c r="D21" s="4" t="str">
        <f t="shared" si="16"/>
        <v>Q12!E</v>
      </c>
      <c r="J21" s="26" t="s">
        <v>175</v>
      </c>
      <c r="K21" s="26" t="s">
        <v>176</v>
      </c>
      <c r="L21" s="26" t="s">
        <v>177</v>
      </c>
      <c r="M21" t="s">
        <v>164</v>
      </c>
      <c r="N21" t="s">
        <v>164</v>
      </c>
      <c r="O21" t="s">
        <v>164</v>
      </c>
      <c r="R21" s="3" t="s">
        <v>779</v>
      </c>
    </row>
    <row r="22" spans="1:18" x14ac:dyDescent="0.2">
      <c r="A22" s="3" t="s">
        <v>168</v>
      </c>
      <c r="B22" s="4" t="str">
        <f t="shared" si="16"/>
        <v>Q10!F</v>
      </c>
      <c r="C22" s="4" t="str">
        <f t="shared" si="16"/>
        <v>Q11!F</v>
      </c>
      <c r="D22" s="4" t="str">
        <f t="shared" si="16"/>
        <v>Q12!F</v>
      </c>
      <c r="J22" s="26" t="s">
        <v>175</v>
      </c>
      <c r="K22" s="26" t="s">
        <v>176</v>
      </c>
      <c r="L22" s="26" t="s">
        <v>177</v>
      </c>
      <c r="M22" t="s">
        <v>169</v>
      </c>
      <c r="N22" t="s">
        <v>169</v>
      </c>
      <c r="O22" t="s">
        <v>169</v>
      </c>
      <c r="R22" s="3" t="s">
        <v>173</v>
      </c>
    </row>
    <row r="23" spans="1:18" x14ac:dyDescent="0.2">
      <c r="A23" s="3" t="s">
        <v>173</v>
      </c>
      <c r="B23" s="4" t="str">
        <f t="shared" si="16"/>
        <v>Q10!G</v>
      </c>
      <c r="C23" s="4" t="str">
        <f t="shared" si="16"/>
        <v>Q11!G</v>
      </c>
      <c r="D23" s="4" t="str">
        <f t="shared" si="16"/>
        <v>Q12!G</v>
      </c>
      <c r="J23" s="26" t="s">
        <v>175</v>
      </c>
      <c r="K23" s="26" t="s">
        <v>176</v>
      </c>
      <c r="L23" s="26" t="s">
        <v>177</v>
      </c>
      <c r="M23" t="s">
        <v>174</v>
      </c>
      <c r="N23" t="s">
        <v>174</v>
      </c>
      <c r="O23" t="s">
        <v>174</v>
      </c>
      <c r="R23" s="3" t="s">
        <v>178</v>
      </c>
    </row>
    <row r="24" spans="1:18" x14ac:dyDescent="0.2">
      <c r="A24" s="3" t="s">
        <v>178</v>
      </c>
      <c r="B24" s="4" t="str">
        <f t="shared" si="16"/>
        <v>Q10!H</v>
      </c>
      <c r="C24" s="4" t="str">
        <f t="shared" si="16"/>
        <v>Q11!H</v>
      </c>
      <c r="D24" s="4" t="str">
        <f t="shared" si="16"/>
        <v>Q12!H</v>
      </c>
      <c r="J24" s="26" t="s">
        <v>175</v>
      </c>
      <c r="K24" s="26" t="s">
        <v>176</v>
      </c>
      <c r="L24" s="26" t="s">
        <v>177</v>
      </c>
      <c r="M24" t="s">
        <v>179</v>
      </c>
      <c r="N24" t="s">
        <v>179</v>
      </c>
      <c r="O24" t="s">
        <v>179</v>
      </c>
    </row>
    <row r="26" spans="1:18" x14ac:dyDescent="0.2">
      <c r="A26" s="3" t="s">
        <v>158</v>
      </c>
      <c r="B26" s="4" t="str">
        <f t="shared" ref="B26:D30" si="17">"Q" &amp; J26 &amp; "!" &amp; M26</f>
        <v>Q13!D</v>
      </c>
      <c r="C26" s="4" t="str">
        <f t="shared" si="17"/>
        <v>Q14!D</v>
      </c>
      <c r="D26" s="4" t="str">
        <f t="shared" si="17"/>
        <v>Q15!D</v>
      </c>
      <c r="E26" s="3" t="s">
        <v>129</v>
      </c>
      <c r="J26" s="26" t="s">
        <v>180</v>
      </c>
      <c r="K26" s="26" t="s">
        <v>181</v>
      </c>
      <c r="L26" s="26" t="s">
        <v>182</v>
      </c>
      <c r="M26" t="s">
        <v>162</v>
      </c>
      <c r="N26" t="s">
        <v>162</v>
      </c>
      <c r="O26" t="s">
        <v>162</v>
      </c>
    </row>
    <row r="27" spans="1:18" x14ac:dyDescent="0.2">
      <c r="A27" s="3" t="s">
        <v>163</v>
      </c>
      <c r="B27" s="4" t="str">
        <f t="shared" si="17"/>
        <v>Q13!E</v>
      </c>
      <c r="C27" s="4" t="str">
        <f t="shared" si="17"/>
        <v>Q14!E</v>
      </c>
      <c r="D27" s="4" t="str">
        <f t="shared" si="17"/>
        <v>Q15!E</v>
      </c>
      <c r="J27" s="26" t="s">
        <v>180</v>
      </c>
      <c r="K27" s="26" t="s">
        <v>181</v>
      </c>
      <c r="L27" s="26" t="s">
        <v>182</v>
      </c>
      <c r="M27" t="s">
        <v>164</v>
      </c>
      <c r="N27" t="s">
        <v>164</v>
      </c>
      <c r="O27" t="s">
        <v>164</v>
      </c>
    </row>
    <row r="28" spans="1:18" x14ac:dyDescent="0.2">
      <c r="A28" s="3" t="s">
        <v>168</v>
      </c>
      <c r="B28" s="4" t="str">
        <f t="shared" si="17"/>
        <v>Q13!F</v>
      </c>
      <c r="C28" s="4" t="str">
        <f t="shared" si="17"/>
        <v>Q14!F</v>
      </c>
      <c r="D28" s="4" t="str">
        <f t="shared" si="17"/>
        <v>Q15!F</v>
      </c>
      <c r="J28" s="26" t="s">
        <v>180</v>
      </c>
      <c r="K28" s="26" t="s">
        <v>181</v>
      </c>
      <c r="L28" s="26" t="s">
        <v>182</v>
      </c>
      <c r="M28" t="s">
        <v>169</v>
      </c>
      <c r="N28" t="s">
        <v>169</v>
      </c>
      <c r="O28" t="s">
        <v>169</v>
      </c>
    </row>
    <row r="29" spans="1:18" x14ac:dyDescent="0.2">
      <c r="A29" s="3" t="s">
        <v>173</v>
      </c>
      <c r="B29" s="4" t="str">
        <f t="shared" si="17"/>
        <v>Q13!G</v>
      </c>
      <c r="C29" s="4" t="str">
        <f t="shared" si="17"/>
        <v>Q14!G</v>
      </c>
      <c r="D29" s="4" t="str">
        <f t="shared" si="17"/>
        <v>Q15!G</v>
      </c>
      <c r="J29" s="26" t="s">
        <v>180</v>
      </c>
      <c r="K29" s="26" t="s">
        <v>181</v>
      </c>
      <c r="L29" s="26" t="s">
        <v>182</v>
      </c>
      <c r="M29" t="s">
        <v>174</v>
      </c>
      <c r="N29" t="s">
        <v>174</v>
      </c>
      <c r="O29" t="s">
        <v>174</v>
      </c>
    </row>
    <row r="30" spans="1:18" x14ac:dyDescent="0.2">
      <c r="A30" s="3" t="s">
        <v>178</v>
      </c>
      <c r="B30" s="4" t="str">
        <f t="shared" si="17"/>
        <v>Q13!H</v>
      </c>
      <c r="C30" s="4" t="str">
        <f t="shared" si="17"/>
        <v>Q14!H</v>
      </c>
      <c r="D30" s="4" t="str">
        <f t="shared" si="17"/>
        <v>Q15!H</v>
      </c>
      <c r="J30" s="26" t="s">
        <v>180</v>
      </c>
      <c r="K30" s="26" t="s">
        <v>181</v>
      </c>
      <c r="L30" s="26" t="s">
        <v>182</v>
      </c>
      <c r="M30" t="s">
        <v>179</v>
      </c>
      <c r="N30" t="s">
        <v>179</v>
      </c>
      <c r="O30" t="s">
        <v>179</v>
      </c>
    </row>
  </sheetData>
  <mergeCells count="5">
    <mergeCell ref="R1:AA1"/>
    <mergeCell ref="AC1:AL1"/>
    <mergeCell ref="AN1:AW1"/>
    <mergeCell ref="AY1:BH1"/>
    <mergeCell ref="BJ1:BS1"/>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A6C0A-5034-E147-8115-100B0FDEB64B}">
  <sheetPr codeName="Feuil23"/>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75E70-1959-0D43-8035-31418C4857A0}">
  <sheetPr codeName="Feuil32"/>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E573-AA8D-BE46-8E2F-B9323FE00835}">
  <sheetPr codeName="Feuil33"/>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7DE2-F465-224C-99E2-E5B218AE68D3}">
  <sheetPr codeName="Feuil34"/>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9001C-31C1-C84C-83EC-6E4C2FFAC943}">
  <sheetPr codeName="Feuil35"/>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798F0-A742-EF42-A003-9A02C323E9F9}">
  <sheetPr codeName="Feuil24"/>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BEB3B-CA29-E94F-B85D-7F2611E42BC5}">
  <sheetPr codeName="Feuil25"/>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32FEE-A10A-B84A-87BB-10B5A2512BA1}">
  <sheetPr codeName="Feuil26"/>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0777-1ABD-1042-AB65-6B93D7D0F6D3}">
  <sheetPr codeName="Feuil27"/>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8894-396C-6E4D-8F85-24A99B7692E2}">
  <sheetPr codeName="Feuil28"/>
  <dimension ref="A1:B5"/>
  <sheetViews>
    <sheetView workbookViewId="0"/>
  </sheetViews>
  <sheetFormatPr baseColWidth="10" defaultColWidth="10.6640625" defaultRowHeight="15" x14ac:dyDescent="0.2"/>
  <sheetData>
    <row r="1" spans="1:2" x14ac:dyDescent="0.2">
      <c r="A1" t="s">
        <v>114</v>
      </c>
      <c r="B1">
        <v>1</v>
      </c>
    </row>
    <row r="2" spans="1:2" x14ac:dyDescent="0.2">
      <c r="A2" t="s">
        <v>798</v>
      </c>
      <c r="B2">
        <v>1</v>
      </c>
    </row>
    <row r="3" spans="1:2" x14ac:dyDescent="0.2">
      <c r="A3" t="s">
        <v>121</v>
      </c>
      <c r="B3">
        <v>1</v>
      </c>
    </row>
    <row r="4" spans="1:2" x14ac:dyDescent="0.2">
      <c r="A4" t="s">
        <v>799</v>
      </c>
      <c r="B4">
        <v>1</v>
      </c>
    </row>
    <row r="5" spans="1:2" x14ac:dyDescent="0.2">
      <c r="A5" t="s">
        <v>129</v>
      </c>
      <c r="B5">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dimension ref="A1:AO40"/>
  <sheetViews>
    <sheetView topLeftCell="A13" zoomScale="118" zoomScaleNormal="118" workbookViewId="0">
      <selection activeCell="H1" sqref="H1"/>
    </sheetView>
  </sheetViews>
  <sheetFormatPr baseColWidth="10" defaultColWidth="10.6640625" defaultRowHeight="15" x14ac:dyDescent="0.2"/>
  <cols>
    <col min="1" max="1" width="14.6640625" customWidth="1"/>
    <col min="2" max="5" width="10.5" customWidth="1"/>
    <col min="6" max="6" width="10.5" style="17" customWidth="1"/>
    <col min="7" max="7" width="9.6640625" style="17" customWidth="1"/>
    <col min="8" max="10" width="27.33203125" style="17" customWidth="1"/>
    <col min="11" max="12" width="27.33203125" customWidth="1"/>
    <col min="19" max="19" width="12.6640625" bestFit="1" customWidth="1"/>
    <col min="20" max="21" width="2.1640625" bestFit="1" customWidth="1"/>
    <col min="23" max="23" width="14.6640625" bestFit="1" customWidth="1"/>
    <col min="24" max="25" width="2.1640625" bestFit="1" customWidth="1"/>
    <col min="28" max="30" width="2.1640625" bestFit="1" customWidth="1"/>
    <col min="31" max="31" width="10.83203125" style="46"/>
    <col min="33" max="35" width="2.1640625" bestFit="1" customWidth="1"/>
    <col min="38" max="38" width="2.1640625" bestFit="1" customWidth="1"/>
    <col min="39" max="39" width="2" bestFit="1" customWidth="1"/>
    <col min="40" max="40" width="2.1640625" bestFit="1" customWidth="1"/>
  </cols>
  <sheetData>
    <row r="1" spans="1:41" ht="19" customHeight="1" x14ac:dyDescent="0.2">
      <c r="A1" s="27"/>
      <c r="B1" s="12" t="s">
        <v>114</v>
      </c>
      <c r="C1" s="12" t="s">
        <v>117</v>
      </c>
      <c r="D1" s="12" t="s">
        <v>121</v>
      </c>
      <c r="E1" s="12" t="s">
        <v>125</v>
      </c>
      <c r="F1" s="12" t="s">
        <v>129</v>
      </c>
      <c r="G1" s="32" t="s">
        <v>184</v>
      </c>
      <c r="H1" s="39" t="s">
        <v>811</v>
      </c>
      <c r="I1" s="17" t="s">
        <v>185</v>
      </c>
      <c r="J1" s="17" t="s">
        <v>186</v>
      </c>
      <c r="K1" s="17" t="s">
        <v>187</v>
      </c>
      <c r="L1" s="17" t="s">
        <v>188</v>
      </c>
      <c r="N1" s="15"/>
      <c r="O1" s="12" t="s">
        <v>189</v>
      </c>
      <c r="P1" s="12" t="s">
        <v>60</v>
      </c>
      <c r="Q1" s="12" t="s">
        <v>64</v>
      </c>
      <c r="R1" s="50" t="s">
        <v>184</v>
      </c>
      <c r="S1" t="s">
        <v>190</v>
      </c>
      <c r="T1" t="s">
        <v>780</v>
      </c>
      <c r="U1" t="s">
        <v>781</v>
      </c>
      <c r="W1" t="s">
        <v>785</v>
      </c>
      <c r="X1" s="46" t="s">
        <v>780</v>
      </c>
      <c r="Y1" s="46" t="s">
        <v>781</v>
      </c>
      <c r="AA1" s="46" t="s">
        <v>788</v>
      </c>
      <c r="AB1" s="46" t="s">
        <v>782</v>
      </c>
      <c r="AC1" s="46" t="s">
        <v>780</v>
      </c>
      <c r="AD1" s="46" t="s">
        <v>781</v>
      </c>
      <c r="AG1" s="46" t="s">
        <v>782</v>
      </c>
      <c r="AH1" s="46" t="s">
        <v>780</v>
      </c>
      <c r="AI1" s="46" t="s">
        <v>781</v>
      </c>
      <c r="AJ1" s="46" t="s">
        <v>787</v>
      </c>
      <c r="AL1" s="46" t="s">
        <v>782</v>
      </c>
      <c r="AM1" s="46" t="s">
        <v>780</v>
      </c>
      <c r="AN1" s="46" t="s">
        <v>781</v>
      </c>
      <c r="AO1" s="46" t="s">
        <v>786</v>
      </c>
    </row>
    <row r="2" spans="1:41" ht="16" customHeight="1" x14ac:dyDescent="0.2">
      <c r="A2" s="33" t="s">
        <v>189</v>
      </c>
      <c r="B2" s="10">
        <f t="array" aca="1" ref="B2" ca="1">INDIRECT("Réponses!C" &amp; $H$2)</f>
        <v>0</v>
      </c>
      <c r="C2" s="10">
        <f t="array" aca="1" ref="C2" ca="1">INDIRECT("Réponses!F" &amp; $H$2)</f>
        <v>0</v>
      </c>
      <c r="D2" s="10">
        <f t="array" aca="1" ref="D2" ca="1">INDIRECT("Réponses!I" &amp; $H$2)</f>
        <v>0</v>
      </c>
      <c r="E2" s="10">
        <f t="array" aca="1" ref="E2" ca="1">INDIRECT("Réponses!L" &amp; $H$2)</f>
        <v>0</v>
      </c>
      <c r="F2" s="10">
        <f t="array" aca="1" ref="F2" ca="1">INDIRECT("Réponses!O" &amp; $H$2)</f>
        <v>0</v>
      </c>
      <c r="G2" s="29">
        <f ca="1">AVERAGE(B2:F2)</f>
        <v>0</v>
      </c>
      <c r="H2" s="40">
        <f>MATCH(H1,Réponses!B1:B6)</f>
        <v>6</v>
      </c>
      <c r="I2" s="17" t="str">
        <f ca="1">OFFSET(TMatrice!$Y$2,MatriceEntreprise!U2-1,MatriceEntreprise!T2-1) &amp; S2 +5</f>
        <v>Q01!D5</v>
      </c>
      <c r="J2" s="17" t="str">
        <f ca="1">OFFSET(TMatrice!$AJ$2,MatriceEntreprise!U2-1,MatriceEntreprise!T2-1) &amp; W2 +5</f>
        <v>Q01!E5</v>
      </c>
      <c r="K2" t="str">
        <f ca="1">OFFSET(TMatrice!$BF$2,MatriceEntreprise!U2-1,MatriceEntreprise!T2-1) &amp; W2 +5</f>
        <v>Q01!G5</v>
      </c>
      <c r="L2" t="str">
        <f ca="1">IF(AO12,"attention, revoir colonneAO","OK")</f>
        <v>OK</v>
      </c>
      <c r="N2" s="13" t="s">
        <v>114</v>
      </c>
      <c r="O2" s="10">
        <f t="array" aca="1" ref="O2" ca="1">INDIRECT("Réponses!C" &amp; $H$2)</f>
        <v>0</v>
      </c>
      <c r="P2" s="10">
        <f t="array" aca="1" ref="P2" ca="1">INDIRECT("Réponses!D" &amp; $H$2)</f>
        <v>0</v>
      </c>
      <c r="Q2" s="10">
        <f t="array" aca="1" ref="Q2" ca="1">INDIRECT("Réponses!E" &amp; $H$2)</f>
        <v>0</v>
      </c>
      <c r="R2" s="29">
        <f ca="1">AVERAGE(O2:Q2)</f>
        <v>0</v>
      </c>
      <c r="S2" s="47">
        <f t="array" aca="1" ref="S2:U4" ca="1">_xlfn.LET(_xlpm.plage, B2:F4, _xlpm.lignes, ROW(_xlpm.plage) - ROW(B2) + 1, _xlpm.colonnes, COLUMN(_xlpm.plage) - COLUMN(B2) + 1, _xlpm.vals, _xlfn.TOCOL(_xlpm.plage), _xlpm.l_s, _xlfn.TOCOL(IF(_xlpm.plage&lt;&gt;"", _xlpm.lignes,"")), _xlpm.c_s, _xlfn.TOCOL(IF(_xlpm.plage&lt;&gt;"", _xlpm.colonnes,"")), _xlpm.trier, _xlfn._xlws.SORT(_xlfn.HSTACK(_xlpm.vals,_xlpm.l_s,_xlpm.c_s), 1, -1), _xlfn.CHOOSEROWS(_xlpm.trier, _xlfn.SEQUENCE(3)))</f>
        <v>0</v>
      </c>
      <c r="T2" s="46">
        <f ca="1"/>
        <v>1</v>
      </c>
      <c r="U2" s="46">
        <f ca="1"/>
        <v>1</v>
      </c>
      <c r="W2" s="47">
        <f t="array" aca="1" ref="W2:Y4" ca="1">_xlfn.LET(_xlpm.plage, B2:F4, _xlpm.lignes, ROW(_xlpm.plage) - ROW(B2) + 1, _xlpm.colonnes, COLUMN(_xlpm.plage) - COLUMN(B2) + 1, _xlpm.vals, _xlfn.TOCOL(_xlpm.plage), _xlpm.l_s, _xlfn.TOCOL(IF(_xlpm.plage&lt;&gt;"", _xlpm.lignes,"")), _xlpm.c_s, _xlfn.TOCOL(IF(_xlpm.plage&lt;&gt;"", _xlpm.colonnes,"")), _xlpm.trier, _xlfn._xlws.SORT(_xlfn.HSTACK(_xlpm.vals,_xlpm.l_s,_xlpm.c_s), 1, 1), _xlfn.CHOOSEROWS(_xlpm.trier, _xlfn.SEQUENCE(3)))</f>
        <v>0</v>
      </c>
      <c r="X2" s="46">
        <f ca="1"/>
        <v>1</v>
      </c>
      <c r="Y2" s="46">
        <f ca="1"/>
        <v>1</v>
      </c>
      <c r="AA2" t="s">
        <v>114</v>
      </c>
      <c r="AB2" s="46" cm="1">
        <f t="array" aca="1" ref="AB2:AD3" ca="1">_xlfn.LET(_xlpm.plage, B2:B4, _xlpm.lignes, ROW(_xlpm.plage) - ROW(B2) + 1, _xlpm.colonnes, COLUMN(_xlpm.plage) - COLUMN(B2) + 1, _xlpm.vals, _xlfn.TOCOL(_xlpm.plage), _xlpm.l_s, _xlfn.TOCOL(IF(_xlpm.plage&lt;&gt;"", _xlpm.lignes,"")), _xlpm.c_s, _xlfn.TOCOL(IF(_xlpm.plage&lt;&gt;"", _xlpm.colonnes,"")), _xlpm.trier, _xlfn._xlws.SORT(_xlfn.HSTACK(_xlpm.vals,_xlpm.l_s,_xlpm.c_s), 1, 1), _xlfn.CHOOSEROWS(_xlpm.trier, _xlfn.SEQUENCE(2)))</f>
        <v>0</v>
      </c>
      <c r="AC2" s="46">
        <f ca="1"/>
        <v>1</v>
      </c>
      <c r="AD2" s="46">
        <f ca="1"/>
        <v>1</v>
      </c>
      <c r="AE2" s="46">
        <v>1</v>
      </c>
      <c r="AG2" s="46">
        <f ca="1">AB2</f>
        <v>0</v>
      </c>
      <c r="AH2" s="46">
        <f ca="1">AC2</f>
        <v>1</v>
      </c>
      <c r="AI2" s="46">
        <v>1</v>
      </c>
      <c r="AJ2" cm="1">
        <f t="array" aca="1" ref="AJ2" ca="1">MATCH(1, (W$2:W$4=AG2) * (X$2:X$4=AH2) * (Y$2:Y$4=AI2), 0)</f>
        <v>1</v>
      </c>
      <c r="AK2">
        <f ca="1">IF(ISERROR(AJ2),0,1)</f>
        <v>1</v>
      </c>
      <c r="AL2" s="46">
        <f ca="1">IF(ISERROR($AJ2),AG2,IF(AG2&lt;5,AG2+1,1))</f>
        <v>1</v>
      </c>
      <c r="AM2" s="46">
        <f ca="1">AH2</f>
        <v>1</v>
      </c>
      <c r="AN2" s="46">
        <v>1</v>
      </c>
      <c r="AO2" cm="1">
        <f t="array" aca="1" ref="AO2" ca="1">IF(ISERROR(MATCH(1, (W$2:W$4=AL2) * (X$2:X$4=AM2) * (Y$2:Y$4=AN2), 0)),0,1)</f>
        <v>0</v>
      </c>
    </row>
    <row r="3" spans="1:41" ht="16" customHeight="1" x14ac:dyDescent="0.2">
      <c r="A3" s="34" t="s">
        <v>60</v>
      </c>
      <c r="B3" s="11">
        <f t="array" aca="1" ref="B3" ca="1">INDIRECT("Réponses!D" &amp; $H$2)</f>
        <v>0</v>
      </c>
      <c r="C3" s="11">
        <f t="array" aca="1" ref="C3" ca="1">INDIRECT("Réponses!G" &amp; $H$2)</f>
        <v>0</v>
      </c>
      <c r="D3" s="11">
        <f t="array" aca="1" ref="D3" ca="1">INDIRECT("Réponses!J" &amp; $H$2)</f>
        <v>0</v>
      </c>
      <c r="E3" s="11">
        <f t="array" aca="1" ref="E3" ca="1">INDIRECT("Réponses!M" &amp; $H$2)</f>
        <v>0</v>
      </c>
      <c r="F3" s="11">
        <f t="array" aca="1" ref="F3" ca="1">INDIRECT("Réponses!P" &amp; $H$2)</f>
        <v>0</v>
      </c>
      <c r="G3" s="30">
        <f ca="1">AVERAGE(B3:F3)</f>
        <v>0</v>
      </c>
      <c r="I3" s="17" t="str">
        <f ca="1">OFFSET(TMatrice!$Y$2,MatriceEntreprise!U3-1,MatriceEntreprise!T3-1) &amp; S3 +5</f>
        <v>Q04!D5</v>
      </c>
      <c r="J3" s="17" t="str">
        <f ca="1">OFFSET(TMatrice!$AJ$2,MatriceEntreprise!U3-1,MatriceEntreprise!T3-1) &amp; W3 +5</f>
        <v>Q04!E5</v>
      </c>
      <c r="K3" t="str">
        <f ca="1">OFFSET(TMatrice!$BF$2,MatriceEntreprise!U3-1,MatriceEntreprise!T3-1) &amp; W3 +5</f>
        <v>Q04!G5</v>
      </c>
      <c r="N3" s="14" t="s">
        <v>117</v>
      </c>
      <c r="O3" s="11">
        <f t="array" aca="1" ref="O3" ca="1">INDIRECT("Réponses!F" &amp; $H$2)</f>
        <v>0</v>
      </c>
      <c r="P3" s="11">
        <f t="array" aca="1" ref="P3" ca="1">INDIRECT("Réponses!G" &amp; $H$2)</f>
        <v>0</v>
      </c>
      <c r="Q3" s="11">
        <f t="array" aca="1" ref="Q3" ca="1">INDIRECT("Réponses!H" &amp; $H$2)</f>
        <v>0</v>
      </c>
      <c r="R3" s="30">
        <f t="shared" ref="R3:R6" ca="1" si="0">AVERAGE(O3:Q3)</f>
        <v>0</v>
      </c>
      <c r="S3" s="47">
        <f ca="1"/>
        <v>0</v>
      </c>
      <c r="T3" s="46">
        <f ca="1"/>
        <v>1</v>
      </c>
      <c r="U3" s="46">
        <f ca="1"/>
        <v>2</v>
      </c>
      <c r="W3" s="47">
        <f ca="1"/>
        <v>0</v>
      </c>
      <c r="X3" s="46">
        <f ca="1"/>
        <v>1</v>
      </c>
      <c r="Y3" s="46">
        <f ca="1"/>
        <v>2</v>
      </c>
      <c r="AB3" s="46">
        <f ca="1"/>
        <v>0</v>
      </c>
      <c r="AC3" s="46">
        <f ca="1"/>
        <v>2</v>
      </c>
      <c r="AD3" s="46">
        <f ca="1"/>
        <v>1</v>
      </c>
      <c r="AE3" s="46">
        <v>1</v>
      </c>
      <c r="AG3" s="46">
        <f t="shared" ref="AG3:AG11" ca="1" si="1">AB3</f>
        <v>0</v>
      </c>
      <c r="AH3" s="46">
        <f t="shared" ref="AH3:AH11" ca="1" si="2">AC3</f>
        <v>2</v>
      </c>
      <c r="AI3" s="46">
        <v>1</v>
      </c>
      <c r="AJ3" t="e" cm="1">
        <f t="array" aca="1" ref="AJ3" ca="1">MATCH(1, (W$2:W$4=AG3) * (X$2:X$4=AH3) * (Y$2:Y$4=AI3), 0)</f>
        <v>#N/A</v>
      </c>
      <c r="AK3">
        <f t="shared" ref="AK3:AK11" ca="1" si="3">IF(ISERROR(AJ3),0,1)</f>
        <v>0</v>
      </c>
      <c r="AL3" s="46">
        <f t="shared" ref="AL3:AL11" ca="1" si="4">IF(ISERROR($AJ3),AG3,IF(AG3&lt;5,AG3+1,1))</f>
        <v>0</v>
      </c>
      <c r="AM3" s="46">
        <f t="shared" ref="AM3:AM11" ca="1" si="5">AH3</f>
        <v>2</v>
      </c>
      <c r="AN3" s="46">
        <v>1</v>
      </c>
      <c r="AO3" cm="1">
        <f t="array" aca="1" ref="AO3" ca="1">IF(ISERROR(MATCH(1, (W$2:W$4=AL3) * (X$2:X$4=AM3) * (Y$2:Y$4=AN3), 0)),0,1)</f>
        <v>0</v>
      </c>
    </row>
    <row r="4" spans="1:41" ht="16" customHeight="1" x14ac:dyDescent="0.2">
      <c r="A4" s="33" t="s">
        <v>64</v>
      </c>
      <c r="B4" s="10">
        <f t="array" aca="1" ref="B4" ca="1">INDIRECT("Réponses!E" &amp; $H$2)</f>
        <v>0</v>
      </c>
      <c r="C4" s="10">
        <f t="array" aca="1" ref="C4" ca="1">INDIRECT("Réponses!H" &amp; $H$2)</f>
        <v>0</v>
      </c>
      <c r="D4" s="10">
        <f t="array" aca="1" ref="D4" ca="1">INDIRECT("Réponses!K" &amp; $H$2)</f>
        <v>0</v>
      </c>
      <c r="E4" s="10">
        <f t="array" aca="1" ref="E4" ca="1">INDIRECT("Réponses!N" &amp; $H$2)</f>
        <v>0</v>
      </c>
      <c r="F4" s="10">
        <f t="array" aca="1" ref="F4" ca="1">INDIRECT("Réponses!Q" &amp; $H$2)</f>
        <v>0</v>
      </c>
      <c r="G4" s="29">
        <f ca="1">AVERAGE(B4:F4)</f>
        <v>0</v>
      </c>
      <c r="I4" s="17" t="str">
        <f ca="1">OFFSET(TMatrice!$Y$2,MatriceEntreprise!U4-1,MatriceEntreprise!T4-1) &amp; S4 +5</f>
        <v>Q07!D5</v>
      </c>
      <c r="J4" s="17" t="str">
        <f ca="1">OFFSET(TMatrice!$AJ$2,MatriceEntreprise!U4-1,MatriceEntreprise!T4-1) &amp; W4 +5</f>
        <v>Q07!E5</v>
      </c>
      <c r="K4" t="str">
        <f ca="1">OFFSET(TMatrice!$BF$2,MatriceEntreprise!U4-1,MatriceEntreprise!T4-1) &amp; W4 +5</f>
        <v>Q07!G5</v>
      </c>
      <c r="N4" s="13" t="s">
        <v>121</v>
      </c>
      <c r="O4" s="10">
        <f t="array" aca="1" ref="O4" ca="1">INDIRECT("Réponses!I" &amp; $H$2)</f>
        <v>0</v>
      </c>
      <c r="P4" s="10">
        <f t="array" aca="1" ref="P4" ca="1">INDIRECT("Réponses!J" &amp; $H$2)</f>
        <v>0</v>
      </c>
      <c r="Q4" s="10">
        <f t="array" aca="1" ref="Q4" ca="1">INDIRECT("Réponses!K" &amp; $H$2)</f>
        <v>0</v>
      </c>
      <c r="R4" s="29">
        <f t="shared" ca="1" si="0"/>
        <v>0</v>
      </c>
      <c r="S4" s="47">
        <f ca="1"/>
        <v>0</v>
      </c>
      <c r="T4" s="46">
        <f ca="1"/>
        <v>1</v>
      </c>
      <c r="U4" s="46">
        <f ca="1"/>
        <v>3</v>
      </c>
      <c r="W4" s="47">
        <f ca="1"/>
        <v>0</v>
      </c>
      <c r="X4" s="46">
        <f ca="1"/>
        <v>1</v>
      </c>
      <c r="Y4" s="46">
        <f ca="1"/>
        <v>3</v>
      </c>
      <c r="AA4" t="s">
        <v>117</v>
      </c>
      <c r="AB4" s="46" cm="1">
        <f t="array" aca="1" ref="AB4:AD5" ca="1">_xlfn.LET(_xlpm.plage, C2:C4, _xlpm.lignes, ROW(_xlpm.plage) - ROW(C2) + 1, _xlpm.colonnes, COLUMN(_xlpm.plage) - COLUMN(C2) + 1, _xlpm.vals, _xlfn.TOCOL(_xlpm.plage), _xlpm.l_s, _xlfn.TOCOL(IF(_xlpm.plage&lt;&gt;"", _xlpm.lignes,"")), _xlpm.c_s, _xlfn.TOCOL(IF(_xlpm.plage&lt;&gt;"", _xlpm.colonnes,"")), _xlpm.trier, _xlfn._xlws.SORT(_xlfn.HSTACK(_xlpm.vals,_xlpm.l_s,_xlpm.c_s), 1, 1), _xlfn.CHOOSEROWS(_xlpm.trier, _xlfn.SEQUENCE(2)))</f>
        <v>0</v>
      </c>
      <c r="AC4" s="46">
        <f ca="1"/>
        <v>1</v>
      </c>
      <c r="AD4" s="46">
        <f ca="1"/>
        <v>1</v>
      </c>
      <c r="AE4" s="46">
        <v>2</v>
      </c>
      <c r="AG4" s="46">
        <f t="shared" ca="1" si="1"/>
        <v>0</v>
      </c>
      <c r="AH4" s="46">
        <f t="shared" ca="1" si="2"/>
        <v>1</v>
      </c>
      <c r="AI4" s="46">
        <v>2</v>
      </c>
      <c r="AJ4" cm="1">
        <f t="array" aca="1" ref="AJ4" ca="1">MATCH(1, (W$2:W$4=AG4) * (X$2:X$4=AH4) * (Y$2:Y$4=AI4), 0)</f>
        <v>2</v>
      </c>
      <c r="AK4">
        <f t="shared" ca="1" si="3"/>
        <v>1</v>
      </c>
      <c r="AL4" s="46">
        <f t="shared" ca="1" si="4"/>
        <v>1</v>
      </c>
      <c r="AM4" s="46">
        <f t="shared" ca="1" si="5"/>
        <v>1</v>
      </c>
      <c r="AN4" s="46">
        <v>2</v>
      </c>
      <c r="AO4" cm="1">
        <f t="array" aca="1" ref="AO4" ca="1">IF(ISERROR(MATCH(1, (W$2:W$4=AL4) * (X$2:X$4=AM4) * (Y$2:Y$4=AN4), 0)),0,1)</f>
        <v>0</v>
      </c>
    </row>
    <row r="5" spans="1:41" ht="16" customHeight="1" x14ac:dyDescent="0.2">
      <c r="A5" s="31" t="s">
        <v>184</v>
      </c>
      <c r="B5" s="28">
        <f t="shared" ref="B5:G5" ca="1" si="6">AVERAGE(B2:B4)</f>
        <v>0</v>
      </c>
      <c r="C5" s="28">
        <f t="shared" ca="1" si="6"/>
        <v>0</v>
      </c>
      <c r="D5" s="28">
        <f t="shared" ca="1" si="6"/>
        <v>0</v>
      </c>
      <c r="E5" s="28">
        <f t="shared" ca="1" si="6"/>
        <v>0</v>
      </c>
      <c r="F5" s="28">
        <f t="shared" ca="1" si="6"/>
        <v>0</v>
      </c>
      <c r="G5" s="54">
        <f t="shared" ca="1" si="6"/>
        <v>0</v>
      </c>
      <c r="N5" s="14" t="s">
        <v>125</v>
      </c>
      <c r="O5" s="11">
        <f t="array" aca="1" ref="O5" ca="1">INDIRECT("Réponses!L" &amp; $H$2)</f>
        <v>0</v>
      </c>
      <c r="P5" s="11">
        <f t="array" aca="1" ref="P5" ca="1">INDIRECT("Réponses!M" &amp; $H$2)</f>
        <v>0</v>
      </c>
      <c r="Q5" s="11">
        <f t="array" aca="1" ref="Q5" ca="1">INDIRECT("Réponses!N" &amp; $H$2)</f>
        <v>0</v>
      </c>
      <c r="R5" s="30">
        <f t="shared" ca="1" si="0"/>
        <v>0</v>
      </c>
      <c r="AB5" s="46">
        <f ca="1"/>
        <v>0</v>
      </c>
      <c r="AC5" s="46">
        <f ca="1"/>
        <v>2</v>
      </c>
      <c r="AD5" s="46">
        <f ca="1"/>
        <v>1</v>
      </c>
      <c r="AE5" s="46">
        <v>2</v>
      </c>
      <c r="AG5" s="46">
        <f t="shared" ca="1" si="1"/>
        <v>0</v>
      </c>
      <c r="AH5" s="46">
        <f t="shared" ca="1" si="2"/>
        <v>2</v>
      </c>
      <c r="AI5" s="46">
        <v>2</v>
      </c>
      <c r="AJ5" t="e" cm="1">
        <f t="array" aca="1" ref="AJ5" ca="1">MATCH(1, (W$2:W$4=AG5) * (X$2:X$4=AH5) * (Y$2:Y$4=AI5), 0)</f>
        <v>#N/A</v>
      </c>
      <c r="AK5">
        <f t="shared" ca="1" si="3"/>
        <v>0</v>
      </c>
      <c r="AL5" s="46">
        <f t="shared" ca="1" si="4"/>
        <v>0</v>
      </c>
      <c r="AM5" s="46">
        <f t="shared" ca="1" si="5"/>
        <v>2</v>
      </c>
      <c r="AN5" s="46">
        <v>2</v>
      </c>
      <c r="AO5" cm="1">
        <f t="array" aca="1" ref="AO5" ca="1">IF(ISERROR(MATCH(1, (W$2:W$4=AL5) * (X$2:X$4=AM5) * (Y$2:Y$4=AN5), 0)),0,1)</f>
        <v>0</v>
      </c>
    </row>
    <row r="6" spans="1:41" x14ac:dyDescent="0.2">
      <c r="A6" s="17"/>
      <c r="B6" s="17"/>
      <c r="C6" s="17"/>
      <c r="D6" s="17"/>
      <c r="N6" s="13" t="s">
        <v>129</v>
      </c>
      <c r="O6" s="10">
        <f t="array" aca="1" ref="O6" ca="1">INDIRECT("Réponses!O" &amp; $H$2)</f>
        <v>0</v>
      </c>
      <c r="P6" s="10">
        <f t="array" aca="1" ref="P6" ca="1">INDIRECT("Réponses!P" &amp; $H$2)</f>
        <v>0</v>
      </c>
      <c r="Q6" s="10">
        <f t="array" aca="1" ref="Q6" ca="1">INDIRECT("Réponses!Q" &amp; $H$2)</f>
        <v>0</v>
      </c>
      <c r="R6" s="29">
        <f t="shared" ca="1" si="0"/>
        <v>0</v>
      </c>
      <c r="AA6" t="s">
        <v>121</v>
      </c>
      <c r="AB6" s="46" cm="1">
        <f t="array" aca="1" ref="AB6:AD7" ca="1">_xlfn.LET(_xlpm.plage, D2:D4, _xlpm.lignes, ROW(_xlpm.plage) - ROW(D2) + 1, _xlpm.colonnes, COLUMN(_xlpm.plage) - COLUMN(D2) + 1, _xlpm.vals, _xlfn.TOCOL(_xlpm.plage), _xlpm.l_s, _xlfn.TOCOL(IF(_xlpm.plage&lt;&gt;"", _xlpm.lignes,"")), _xlpm.c_s, _xlfn.TOCOL(IF(_xlpm.plage&lt;&gt;"", _xlpm.colonnes,"")), _xlpm.trier, _xlfn._xlws.SORT(_xlfn.HSTACK(_xlpm.vals,_xlpm.l_s,_xlpm.c_s), 1, 1), _xlfn.CHOOSEROWS(_xlpm.trier, _xlfn.SEQUENCE(2)))</f>
        <v>0</v>
      </c>
      <c r="AC6" s="46">
        <f ca="1"/>
        <v>1</v>
      </c>
      <c r="AD6" s="46">
        <f ca="1"/>
        <v>1</v>
      </c>
      <c r="AE6" s="46">
        <v>3</v>
      </c>
      <c r="AG6" s="46">
        <f t="shared" ca="1" si="1"/>
        <v>0</v>
      </c>
      <c r="AH6" s="46">
        <f t="shared" ca="1" si="2"/>
        <v>1</v>
      </c>
      <c r="AI6" s="46">
        <v>3</v>
      </c>
      <c r="AJ6" cm="1">
        <f t="array" aca="1" ref="AJ6" ca="1">MATCH(1, (W$2:W$4=AG6) * (X$2:X$4=AH6) * (Y$2:Y$4=AI6), 0)</f>
        <v>3</v>
      </c>
      <c r="AK6">
        <f t="shared" ca="1" si="3"/>
        <v>1</v>
      </c>
      <c r="AL6" s="46">
        <f t="shared" ca="1" si="4"/>
        <v>1</v>
      </c>
      <c r="AM6" s="46">
        <f t="shared" ca="1" si="5"/>
        <v>1</v>
      </c>
      <c r="AN6" s="46">
        <v>3</v>
      </c>
      <c r="AO6" cm="1">
        <f t="array" aca="1" ref="AO6" ca="1">IF(ISERROR(MATCH(1, (W$2:W$4=AL6) * (X$2:X$4=AM6) * (Y$2:Y$4=AN6), 0)),0,1)</f>
        <v>0</v>
      </c>
    </row>
    <row r="7" spans="1:41" x14ac:dyDescent="0.2">
      <c r="A7" s="17"/>
      <c r="B7" s="17"/>
      <c r="C7" s="17"/>
      <c r="D7" s="17"/>
      <c r="N7" s="49" t="s">
        <v>184</v>
      </c>
      <c r="O7" s="51">
        <f ca="1">AVERAGE(O2:O6)</f>
        <v>0</v>
      </c>
      <c r="P7" s="51">
        <f t="shared" ref="P7:R7" ca="1" si="7">AVERAGE(P2:P6)</f>
        <v>0</v>
      </c>
      <c r="Q7" s="51">
        <f t="shared" ca="1" si="7"/>
        <v>0</v>
      </c>
      <c r="R7" s="51">
        <f t="shared" ca="1" si="7"/>
        <v>0</v>
      </c>
      <c r="AB7" s="46">
        <f ca="1"/>
        <v>0</v>
      </c>
      <c r="AC7" s="46">
        <f ca="1"/>
        <v>2</v>
      </c>
      <c r="AD7" s="46">
        <f ca="1"/>
        <v>1</v>
      </c>
      <c r="AE7" s="46">
        <v>3</v>
      </c>
      <c r="AG7" s="46">
        <f t="shared" ca="1" si="1"/>
        <v>0</v>
      </c>
      <c r="AH7" s="46">
        <f t="shared" ca="1" si="2"/>
        <v>2</v>
      </c>
      <c r="AI7" s="46">
        <v>3</v>
      </c>
      <c r="AJ7" t="e" cm="1">
        <f t="array" aca="1" ref="AJ7" ca="1">MATCH(1, (W$2:W$4=AG7) * (X$2:X$4=AH7) * (Y$2:Y$4=AI7), 0)</f>
        <v>#N/A</v>
      </c>
      <c r="AK7">
        <f t="shared" ca="1" si="3"/>
        <v>0</v>
      </c>
      <c r="AL7" s="46">
        <f t="shared" ca="1" si="4"/>
        <v>0</v>
      </c>
      <c r="AM7" s="46">
        <f t="shared" ca="1" si="5"/>
        <v>2</v>
      </c>
      <c r="AN7" s="46">
        <v>3</v>
      </c>
      <c r="AO7" cm="1">
        <f t="array" aca="1" ref="AO7" ca="1">IF(ISERROR(MATCH(1, (W$2:W$4=AL7) * (X$2:X$4=AM7) * (Y$2:Y$4=AN7), 0)),0,1)</f>
        <v>0</v>
      </c>
    </row>
    <row r="8" spans="1:41" x14ac:dyDescent="0.2">
      <c r="A8" s="17"/>
      <c r="B8" s="17"/>
      <c r="C8" s="17"/>
      <c r="D8" s="17"/>
      <c r="N8" s="13"/>
      <c r="O8" s="10"/>
      <c r="P8" s="10"/>
      <c r="Q8" s="10"/>
      <c r="AA8" t="s">
        <v>125</v>
      </c>
      <c r="AB8" s="46" cm="1">
        <f t="array" aca="1" ref="AB8:AD9" ca="1">_xlfn.LET(_xlpm.plage, E2:E4, _xlpm.lignes, ROW(_xlpm.plage) - ROW(E2) + 1, _xlpm.colonnes, COLUMN(_xlpm.plage) - COLUMN(E2) + 1, _xlpm.vals, _xlfn.TOCOL(_xlpm.plage), _xlpm.l_s, _xlfn.TOCOL(IF(_xlpm.plage&lt;&gt;"", _xlpm.lignes,"")), _xlpm.c_s, _xlfn.TOCOL(IF(_xlpm.plage&lt;&gt;"", _xlpm.colonnes,"")), _xlpm.trier, _xlfn._xlws.SORT(_xlfn.HSTACK(_xlpm.vals,_xlpm.l_s,_xlpm.c_s), 1, 1), _xlfn.CHOOSEROWS(_xlpm.trier, _xlfn.SEQUENCE(2)))</f>
        <v>0</v>
      </c>
      <c r="AC8" s="46">
        <f ca="1"/>
        <v>1</v>
      </c>
      <c r="AD8" s="46">
        <f ca="1"/>
        <v>1</v>
      </c>
      <c r="AE8" s="46">
        <v>4</v>
      </c>
      <c r="AG8" s="46">
        <f t="shared" ca="1" si="1"/>
        <v>0</v>
      </c>
      <c r="AH8" s="46">
        <f t="shared" ca="1" si="2"/>
        <v>1</v>
      </c>
      <c r="AI8" s="46">
        <v>4</v>
      </c>
      <c r="AJ8" t="e" cm="1">
        <f t="array" aca="1" ref="AJ8" ca="1">MATCH(1, (W$2:W$4=AG8) * (X$2:X$4=AH8) * (Y$2:Y$4=AI8), 0)</f>
        <v>#N/A</v>
      </c>
      <c r="AK8">
        <f t="shared" ca="1" si="3"/>
        <v>0</v>
      </c>
      <c r="AL8" s="46">
        <f t="shared" ca="1" si="4"/>
        <v>0</v>
      </c>
      <c r="AM8" s="46">
        <f t="shared" ca="1" si="5"/>
        <v>1</v>
      </c>
      <c r="AN8" s="46">
        <v>4</v>
      </c>
      <c r="AO8" cm="1">
        <f t="array" aca="1" ref="AO8" ca="1">IF(ISERROR(MATCH(1, (W$2:W$4=AL8) * (X$2:X$4=AM8) * (Y$2:Y$4=AN8), 0)),0,1)</f>
        <v>0</v>
      </c>
    </row>
    <row r="9" spans="1:41" x14ac:dyDescent="0.2">
      <c r="A9" s="17"/>
      <c r="B9" s="17"/>
      <c r="C9" s="17"/>
      <c r="D9" s="17"/>
      <c r="N9" s="13"/>
      <c r="O9" s="10"/>
      <c r="P9" s="10"/>
      <c r="Q9" s="10"/>
      <c r="AB9" s="46">
        <f ca="1"/>
        <v>0</v>
      </c>
      <c r="AC9" s="46">
        <f ca="1"/>
        <v>2</v>
      </c>
      <c r="AD9" s="46">
        <f ca="1"/>
        <v>1</v>
      </c>
      <c r="AE9" s="46">
        <v>4</v>
      </c>
      <c r="AG9" s="46">
        <f t="shared" ca="1" si="1"/>
        <v>0</v>
      </c>
      <c r="AH9" s="46">
        <f t="shared" ca="1" si="2"/>
        <v>2</v>
      </c>
      <c r="AI9" s="46">
        <v>4</v>
      </c>
      <c r="AJ9" t="e" cm="1">
        <f t="array" aca="1" ref="AJ9" ca="1">MATCH(1, (W$2:W$4=AG9) * (X$2:X$4=AH9) * (Y$2:Y$4=AI9), 0)</f>
        <v>#N/A</v>
      </c>
      <c r="AK9">
        <f t="shared" ca="1" si="3"/>
        <v>0</v>
      </c>
      <c r="AL9" s="46">
        <f t="shared" ca="1" si="4"/>
        <v>0</v>
      </c>
      <c r="AM9" s="46">
        <f t="shared" ca="1" si="5"/>
        <v>2</v>
      </c>
      <c r="AN9" s="46">
        <v>4</v>
      </c>
      <c r="AO9" cm="1">
        <f t="array" aca="1" ref="AO9" ca="1">IF(ISERROR(MATCH(1, (W$2:W$4=AL9) * (X$2:X$4=AM9) * (Y$2:Y$4=AN9), 0)),0,1)</f>
        <v>0</v>
      </c>
    </row>
    <row r="10" spans="1:41" x14ac:dyDescent="0.2">
      <c r="A10" s="17"/>
      <c r="B10" s="17"/>
      <c r="C10" s="17"/>
      <c r="D10" s="17"/>
      <c r="N10" s="13"/>
      <c r="O10" s="10"/>
      <c r="P10" s="10"/>
      <c r="Q10" s="10"/>
      <c r="AA10" t="s">
        <v>129</v>
      </c>
      <c r="AB10" s="46" cm="1">
        <f t="array" aca="1" ref="AB10:AD11" ca="1">_xlfn.LET(_xlpm.plage, F2:F4, _xlpm.lignes, ROW(_xlpm.plage) - ROW(F2) + 1, _xlpm.colonnes, COLUMN(_xlpm.plage) - COLUMN(F2) + 1, _xlpm.vals, _xlfn.TOCOL(_xlpm.plage), _xlpm.l_s, _xlfn.TOCOL(IF(_xlpm.plage&lt;&gt;"", _xlpm.lignes,"")), _xlpm.c_s, _xlfn.TOCOL(IF(_xlpm.plage&lt;&gt;"", _xlpm.colonnes,"")), _xlpm.trier, _xlfn._xlws.SORT(_xlfn.HSTACK(_xlpm.vals,_xlpm.l_s,_xlpm.c_s), 1, 1), _xlfn.CHOOSEROWS(_xlpm.trier, _xlfn.SEQUENCE(2)))</f>
        <v>0</v>
      </c>
      <c r="AC10" s="46">
        <f ca="1"/>
        <v>1</v>
      </c>
      <c r="AD10" s="46">
        <f ca="1"/>
        <v>1</v>
      </c>
      <c r="AE10" s="46">
        <v>5</v>
      </c>
      <c r="AG10" s="46">
        <f t="shared" ca="1" si="1"/>
        <v>0</v>
      </c>
      <c r="AH10" s="46">
        <f t="shared" ca="1" si="2"/>
        <v>1</v>
      </c>
      <c r="AI10" s="46">
        <v>5</v>
      </c>
      <c r="AJ10" t="e" cm="1">
        <f t="array" aca="1" ref="AJ10" ca="1">MATCH(1, (W$2:W$4=AG10) * (X$2:X$4=AH10) * (Y$2:Y$4=AI10), 0)</f>
        <v>#N/A</v>
      </c>
      <c r="AK10">
        <f t="shared" ca="1" si="3"/>
        <v>0</v>
      </c>
      <c r="AL10" s="46">
        <f t="shared" ca="1" si="4"/>
        <v>0</v>
      </c>
      <c r="AM10" s="46">
        <f t="shared" ca="1" si="5"/>
        <v>1</v>
      </c>
      <c r="AN10" s="46">
        <v>5</v>
      </c>
      <c r="AO10" cm="1">
        <f t="array" aca="1" ref="AO10" ca="1">IF(ISERROR(MATCH(1, (W$2:W$4=AL10) * (X$2:X$4=AM10) * (Y$2:Y$4=AN10), 0)),0,1)</f>
        <v>0</v>
      </c>
    </row>
    <row r="11" spans="1:41" x14ac:dyDescent="0.2">
      <c r="C11" s="16"/>
      <c r="D11" s="16"/>
      <c r="E11" s="16"/>
      <c r="J11" s="2"/>
      <c r="K11" s="2"/>
      <c r="L11" s="2"/>
      <c r="AB11" s="46">
        <f ca="1"/>
        <v>0</v>
      </c>
      <c r="AC11" s="46">
        <f ca="1"/>
        <v>2</v>
      </c>
      <c r="AD11" s="46">
        <f ca="1"/>
        <v>1</v>
      </c>
      <c r="AE11" s="46">
        <v>5</v>
      </c>
      <c r="AG11" s="46">
        <f t="shared" ca="1" si="1"/>
        <v>0</v>
      </c>
      <c r="AH11" s="46">
        <f t="shared" ca="1" si="2"/>
        <v>2</v>
      </c>
      <c r="AI11" s="46">
        <v>5</v>
      </c>
      <c r="AJ11" t="e" cm="1">
        <f t="array" aca="1" ref="AJ11" ca="1">MATCH(1, (W$2:W$4=AG11) * (X$2:X$4=AH11) * (Y$2:Y$4=AI11), 0)</f>
        <v>#N/A</v>
      </c>
      <c r="AK11">
        <f t="shared" ca="1" si="3"/>
        <v>0</v>
      </c>
      <c r="AL11" s="46">
        <f t="shared" ca="1" si="4"/>
        <v>0</v>
      </c>
      <c r="AM11" s="46">
        <f t="shared" ca="1" si="5"/>
        <v>2</v>
      </c>
      <c r="AN11" s="46">
        <v>5</v>
      </c>
      <c r="AO11" cm="1">
        <f t="array" aca="1" ref="AO11" ca="1">IF(ISERROR(MATCH(1, (W$2:W$4=AL11) * (X$2:X$4=AM11) * (Y$2:Y$4=AN11), 0)),0,1)</f>
        <v>0</v>
      </c>
    </row>
    <row r="12" spans="1:41" ht="19" customHeight="1" x14ac:dyDescent="0.2">
      <c r="B12" s="16"/>
      <c r="C12" s="16"/>
      <c r="D12" s="16"/>
      <c r="E12" s="16"/>
      <c r="F12" s="41" t="s">
        <v>183</v>
      </c>
      <c r="H12" s="25" t="s">
        <v>114</v>
      </c>
      <c r="I12" s="25" t="s">
        <v>117</v>
      </c>
      <c r="J12" s="25" t="s">
        <v>121</v>
      </c>
      <c r="K12" s="25" t="s">
        <v>125</v>
      </c>
      <c r="L12" s="25" t="s">
        <v>129</v>
      </c>
      <c r="AK12">
        <f ca="1">SUM(AK2:AK11)</f>
        <v>3</v>
      </c>
      <c r="AO12">
        <f ca="1">SUM(AO2:AO11)</f>
        <v>0</v>
      </c>
    </row>
    <row r="13" spans="1:41" ht="144" x14ac:dyDescent="0.2">
      <c r="A13" s="16"/>
      <c r="C13" s="16"/>
      <c r="D13" s="16"/>
      <c r="E13" s="16"/>
      <c r="F13" s="61" t="s">
        <v>191</v>
      </c>
      <c r="G13" s="62"/>
      <c r="H13" s="2" t="str">
        <f ca="1">_xlfn.CONCAT(INDIRECT(TMatrice!$B2 &amp; (B$2+5))," ",INDIRECT(TMatrice!$C2 &amp; (B$3+5))," ",INDIRECT(TMatrice!$D2 &amp; (B$4+5)))</f>
        <v>Rien n'est acquis. Aucune donnée pertinente identifiée. Aucun cas d'usage pertinent.</v>
      </c>
      <c r="I13" s="2" t="str">
        <f ca="1">_xlfn.CONCAT(INDIRECT(TMatrice!$B8 &amp; (C$2+5))," ",INDIRECT(TMatrice!$C8 &amp; (C$3+5))," ",INDIRECT(TMatrice!$D8 &amp; (C$4+5)))</f>
        <v>Aucune ambition. Aucune trajectoire. Aucun cas d'usage.</v>
      </c>
      <c r="J13" s="2" t="str">
        <f ca="1">_xlfn.CONCAT(INDIRECT(TMatrice!$B14 &amp; (D$2+5))," ",INDIRECT(TMatrice!$C14 &amp; (D$3+5))," ",INDIRECT(TMatrice!$D14 &amp; (D$4+5)))</f>
        <v>Absence d'implication Pas d'implication réelle. Il n'y a aucun dispositif d'apprentissage au sein de l'entreprise, d'expérimentation ou de partage autour de l'IA.</v>
      </c>
      <c r="K13" s="2" t="str">
        <f ca="1">_xlfn.CONCAT(INDIRECT(TMatrice!$B20 &amp; (E$2+5))," ",INDIRECT(TMatrice!$C20 &amp; (E$3+5))," ",INDIRECT(TMatrice!$D20 &amp; (E$4+5)))</f>
        <v>L'entreprise ne dispose pas de compétences internes identifiées en IA. Aucun dispositif de développement des compétences IA. L'entreprise n'a pas les capacité d'identifier les besoins et lacunes en compétences IA et aucun recours externe n'est organisé.</v>
      </c>
      <c r="L13" s="2" t="str">
        <f ca="1">_xlfn.CONCAT(INDIRECT(TMatrice!$B26 &amp; (F$2+5))," ",INDIRECT(TMatrice!$C26 &amp; (F$3+5))," ",INDIRECT(TMatrice!$D26 &amp; (F$4+5)))</f>
        <v>L'entreprise n'a aucun principe, règle ou responsabilité n'est défini pour l'utilisation de l'IA. Au sein de l'entreprise, les solutions IA peuvent être déployées sans processus d'évaluation ou de validation. L'entreprise n'a pas mis en place de suivit des solutions IA après leur déploiement.</v>
      </c>
      <c r="M13" s="2"/>
    </row>
    <row r="14" spans="1:41" ht="224" customHeight="1" x14ac:dyDescent="0.2">
      <c r="A14" s="16"/>
      <c r="C14" s="16"/>
      <c r="D14" s="16"/>
      <c r="E14" s="16"/>
      <c r="F14" s="61" t="s">
        <v>192</v>
      </c>
      <c r="G14" s="62"/>
      <c r="H14" s="2" t="str">
        <f ca="1">_xlfn.CONCAT(INDIRECT(TMatrice!$B3 &amp; (B$2+5))," ",INDIRECT(TMatrice!$C3 &amp; (B$3+5))," ",INDIRECT(TMatrice!$D3 &amp; (B$4+5)))</f>
        <v>L'entreprise n'a pas de moyens techniques pour permettre l'expérimentation de solutions IA. L'entreprise n'a pas identifié les 1ères données à exploiter même si elles sont dispersées. Absence d'identification de cas d'usage IA</v>
      </c>
      <c r="I14" s="2" t="str">
        <f ca="1">_xlfn.CONCAT(INDIRECT(TMatrice!$B9 &amp; (C$2+5))," ",INDIRECT(TMatrice!$C9 &amp; (C$3+5))," ",INDIRECT(TMatrice!$D9 &amp; (C$4+5)))</f>
        <v>L'IA absente des réflexions stratégiques de l'entreprise. Absence d'actions coordonnées pour structurer la feuille de route IA. L'entreprise n'a pas identifié de cas d'usage permettant un début de gestion de portefeuille projet IA.</v>
      </c>
      <c r="J14" s="2" t="str">
        <f ca="1">_xlfn.CONCAT(INDIRECT(TMatrice!$B15 &amp; (D$2+5))," ",INDIRECT(TMatrice!$C15 &amp; (D$3+5))," ",INDIRECT(TMatrice!$D15 &amp; (D$4+5)))</f>
        <v>Les managers ne sont pas sensibilisés à l'IA Manque de confiance et de légitimité managériale provoquant une forte résistance sur la mise en place de l'IA au sein de l'entreprise. Il n'y a pas de dispositifs d'apprentissage informels de l'IA en entreprise.</v>
      </c>
      <c r="K14" s="2" t="str">
        <f ca="1">_xlfn.CONCAT(INDIRECT(TMatrice!$B21 &amp; (E$2+5))," ",INDIRECT(TMatrice!$C21 &amp; (E$3+5))," ",INDIRECT(TMatrice!$D21 &amp; (E$4+5)))</f>
        <v>L'entreprise ne dispose pas de compétences internes identifiées en IA. Elle peut avoir une dépendance totale à l'extérieur. L'entreprise n'a aucun dispositif permettant d'envisager une progression des compétences en IA. L'entreprise n'a pas de mécanisme d'identification au cas par cas des lacunes dans les compétences IA de ses équipes.</v>
      </c>
      <c r="L14" s="2" t="str">
        <f ca="1">_xlfn.CONCAT(INDIRECT(TMatrice!$B27 &amp; (F$2+5))," ",INDIRECT(TMatrice!$C27 &amp; (F$3+5))," ",INDIRECT(TMatrice!$D27 &amp; (F$4+5)))</f>
        <v>L'entreprise manque de cadrage informel pour commencer à définir certaines taches et responsabilités pour l'utilisation de l'IA. L'entreprise ne controle pas les déploiements des projets et usages IA. Le fonctionnement des solutions IA n'est pas vérifié ponctuellement, généralement en cas de problème et des dérive non détectées sont possibles.</v>
      </c>
    </row>
    <row r="15" spans="1:41" ht="192" x14ac:dyDescent="0.2">
      <c r="A15" s="16"/>
      <c r="C15" s="16"/>
      <c r="D15" s="16"/>
      <c r="E15" s="16"/>
      <c r="F15" s="61" t="s">
        <v>193</v>
      </c>
      <c r="G15" s="62"/>
      <c r="H15" s="2" t="str">
        <f ca="1">_xlfn.CONCAT(INDIRECT(TMatrice!$B4 &amp; (B$2+5))," ",INDIRECT(TMatrice!$C4 &amp; (B$3+5))," ",INDIRECT(TMatrice!$D4 &amp; (B$4+5)))</f>
        <v>Acquérir la capacité à disposer d’un socle technologique permettant de développer et déployer des solutions d’IA. Acquérir la capacité à identifier (inventaire) et rendre disponibles les données pertinentes pour les usages d’IA. Acquérir la capacité à identifier les opportunités dans lesquelles l’IA pourrait présenter un cas d’usage pertinent.</v>
      </c>
      <c r="I15" s="2" t="str">
        <f ca="1">_xlfn.CONCAT(INDIRECT(TMatrice!$B10 &amp; (C$2+5))," ",INDIRECT(TMatrice!$C10 &amp; (C$3+5))," ",INDIRECT(TMatrice!$D10 &amp; (C$4+5)))</f>
        <v>Acquérir la capacité à intégrer l’IA dans les réflexions et ambitions de l’entreprise auprès des managers. Acquérir la capacité à définir une première trajectoire d’actions permettant de mettre en œuvre l’ambition IA. Acquérir la capacité à identifier des cas d’usage IA répondant aux enjeux de l’entreprise.</v>
      </c>
      <c r="J15" s="2" t="str">
        <f ca="1">_xlfn.CONCAT(INDIRECT(TMatrice!$B16 &amp; (D$2+5))," ",INDIRECT(TMatrice!$C16 &amp; (D$3+5))," ",INDIRECT(TMatrice!$D16 &amp; (D$4+5)))</f>
        <v>Acquérir la capacité du leadership à comprendre les enjeux de l’IA et à identifier les premières opportunités d’utilisation dans l’entreprise. Acquérir la capacité à créer les conditions permettant aux collaborateurs d’accepter progressivement l’utilisation de l’IA. Acquérir la capacité à mettre en place un premier dispositif d’apprentissage et d’expérimentation.</v>
      </c>
      <c r="K15" s="2" t="str">
        <f ca="1">_xlfn.CONCAT(INDIRECT(TMatrice!$B22 &amp; (E$2+5))," ",INDIRECT(TMatrice!$C22 &amp; (E$3+5))," ",INDIRECT(TMatrice!$D22 &amp; (E$4+5)))</f>
        <v>Acquérir une première capacité interne à concevoir, développer, déployer ou exploiter des solutions d’IA. Acquérir la capacité à mettre en place un premier dispositif de développement des compétences IA des collaborateurs. Acquérir la capacité à identifier les besoins et lacunes en compétences et à les faire porter en externe.</v>
      </c>
      <c r="L15" s="2" t="str">
        <f ca="1">_xlfn.CONCAT(INDIRECT(TMatrice!$B28 &amp; (F$2+5))," ",INDIRECT(TMatrice!$C28 &amp; (F$3+5))," ",INDIRECT(TMatrice!$D28 &amp; (F$4+5)))</f>
        <v>Acquérir la capacité à définir les premiers principes de la gouvernance IA avec des règles et responsabilités encadrant l’utilisation de l’IA. Acquérir la capacité à évaluer et valider certaines solutions IA avant leur mise en production. Acquérir la capacité à suivre les solutions IA ponctuellement après leur déploiement.</v>
      </c>
    </row>
    <row r="16" spans="1:41" ht="224" x14ac:dyDescent="0.2">
      <c r="A16" s="16"/>
      <c r="C16" s="16"/>
      <c r="D16" s="16"/>
      <c r="E16" s="16"/>
      <c r="F16" s="61" t="s">
        <v>194</v>
      </c>
      <c r="G16" s="62"/>
      <c r="H16" s="2" t="str">
        <f ca="1">_xlfn.CONCAT(INDIRECT(TMatrice!$B5 &amp; (B$2+5))," ",INDIRECT(TMatrice!$C5 &amp; (B$3+5))," ",INDIRECT(TMatrice!$D5 &amp; (B$4+5)))</f>
        <v>Recenser les besoins minimaux en calcul, stockage et environnements ; définir une architecture initiale et les moyens IT/cloud mobilisables. Identifier des sources pertinentes, leurs propriétaires et les règles d’accès ; définir les premières règles de qualité. Identifier les activités et processus susceptibles de bénéficier de l’IA ; recueillir les besoins métiers et documenter les opportunités.</v>
      </c>
      <c r="I16" s="2" t="str">
        <f ca="1">_xlfn.CONCAT(INDIRECT(TMatrice!$B11 &amp; (C$2+5))," ",INDIRECT(TMatrice!$C11 &amp; (C$3+5))," ",INDIRECT(TMatrice!$D11 &amp; (C$4+5)))</f>
        <v>Sensibiliser les dirigeants aux possibilités et enjeux de l’IA ; organiser une première réflexion sur les ambitions possibles. Recenser initiatives et besoins IA ; définir premières étapes, responsables et échéances ; formaliser une trajectoire initiale. Recenser les premiers cas d’usage IA en lien avec les enjeux métiers ; documenter opportunités et besoins.</v>
      </c>
      <c r="J16" s="2" t="str">
        <f ca="1">_xlfn.CONCAT(INDIRECT(TMatrice!$B17 &amp; (D$2+5))," ",INDIRECT(TMatrice!$C17 &amp; (D$3+5))," ",INDIRECT(TMatrice!$D17 &amp; (D$4+5)))</f>
        <v>Sensibiliser dirigeants et managers aux enjeux IA ; identifier les premiers sponsors et clarifier leur rôle. Expliquer enjeux et bénéfices ; partager la vision entreprise sur l'IA. Identifier les besoins d’apprentissage et d’expérimentation ; mettre en place un premier dispositif de sensibilisation et de partage.</v>
      </c>
      <c r="K16" s="2" t="str">
        <f ca="1">_xlfn.CONCAT(INDIRECT(TMatrice!$B23 &amp; (E$2+5))," ",INDIRECT(TMatrice!$C23 &amp; (E$3+5))," ",INDIRECT(TMatrice!$D23 &amp; (E$4+5)))</f>
        <v>Identifier les compétences IA nécessaires ; recenser les compétences existantes et els personnes cibles ; définir les besoins de développement ou recrutement. Identifier populations et compétences prioritaires ; définir un premier dispositif de sensibilisation et de développement. Identifier besoins critiques ; cartographier lacunes ; définir les premiers moyens internes ou externes pour les combler.</v>
      </c>
      <c r="L16" s="2" t="str">
        <f ca="1">_xlfn.CONCAT(INDIRECT(TMatrice!$B29 &amp; (F$2+5))," ",INDIRECT(TMatrice!$C29 &amp; (F$3+5))," ",INDIRECT(TMatrice!$D29 &amp; (F$4+5)))</f>
        <v>Identifier les principaux risques et besoins de contrôle liés aux usages de l'IA ; définir premières règles et responsabilités ; sensibiliser les équipes. Définir des critères minimaux ; identifier les projets soumis à validation ; formaliser une première revue avant mise en production. Identifier les solutions IA en exploitation ; définir indicateurs et responsabilités ; mettre en place un premier contrôle post-déploiement.</v>
      </c>
    </row>
    <row r="17" spans="1:31" ht="48" customHeight="1" x14ac:dyDescent="0.2">
      <c r="A17" s="16"/>
      <c r="C17" s="16"/>
      <c r="D17" s="16"/>
      <c r="E17" s="16"/>
      <c r="F17" s="61" t="s">
        <v>195</v>
      </c>
      <c r="G17" s="62"/>
      <c r="H17" s="2" t="str">
        <f ca="1">_xlfn.CONCAT(INDIRECT(TMatrice!$B6 &amp; (B$2+5))," ",INDIRECT(TMatrice!$C6 &amp; (B$3+5))," ",INDIRECT(TMatrice!$D6 &amp; (B$4+5)))</f>
        <v>Une infrastructure minimale est disponible pour lancer les premiers projets IA. Les données pertinentes pour les premiers usages IA sont identifiées et accessibles. Un premier ensemble de cas d’usage IA pertinents est identifié.</v>
      </c>
      <c r="I17" s="2" t="str">
        <f ca="1">_xlfn.CONCAT(INDIRECT(TMatrice!$B12 &amp; (C$2+5))," ",INDIRECT(TMatrice!$C12 &amp; (C$3+5))," ",INDIRECT(TMatrice!$D12 &amp; (C$4+5)))</f>
        <v>L’IA est intégrée aux réflexions de l’entreprise et une première ambition est exprimée. Une première trajectoire IA existe avec actions et responsabilités identifiées. Un portefeuille initial de cas d’usage IA est identifié.</v>
      </c>
      <c r="J17" s="2" t="str">
        <f ca="1">_xlfn.CONCAT(INDIRECT(TMatrice!$B18 &amp; (D$2+5))," ",INDIRECT(TMatrice!$C18 &amp; (D$3+5))," ",INDIRECT(TMatrice!$D18 &amp; (D$4+5)))</f>
        <v>Les premiers sponsors comprennent les enjeux IA et commencent à soutenir le sujet. Les résistances sont identifiées et les collaborateurs disposent de premiers repères pour envisager l’IA. Un premier dispositif permet de découvrir, expérimenter et échanger autour de l’IA.</v>
      </c>
      <c r="K17" s="2" t="str">
        <f ca="1">_xlfn.CONCAT(INDIRECT(TMatrice!$B24 &amp; (E$2+5))," ",INDIRECT(TMatrice!$C24 &amp; (E$3+5))," ",INDIRECT(TMatrice!$D24 &amp; (E$4+5)))</f>
        <v>Les compétences IA prioritaires et les premiers moyens pour les acquérir sont identifiés. Un dispositif initial de développement des compétences IA est défini. Les principales lacunes sont identifiées et font l’objet d’un premier plan de traitement.</v>
      </c>
      <c r="L17" s="2" t="str">
        <f ca="1">_xlfn.CONCAT(INDIRECT(TMatrice!$B30 &amp; (F$2+5))," ",INDIRECT(TMatrice!$C30 &amp; (F$3+5))," ",INDIRECT(TMatrice!$D30 &amp; (F$4+5)))</f>
        <v>Un premier cadre de principes, règles et responsabilités encadre les usages IA prioritaires. Les projets IA font l’objet d’une première évaluation avant déploiement. Les solutions IA déployées sont identifiées et font l’objet d’un premier suivi.</v>
      </c>
    </row>
    <row r="19" spans="1:31" s="16" customFormat="1" ht="16" x14ac:dyDescent="0.2">
      <c r="F19" s="2"/>
      <c r="G19" s="43" t="s">
        <v>196</v>
      </c>
      <c r="H19" s="2" t="str">
        <f ca="1">OFFSET($A$1,0,U2) &amp; " - " &amp; OFFSET($A$1,T2,0)</f>
        <v>Potentiel - Émergence</v>
      </c>
      <c r="I19" s="60" t="str" cm="1">
        <f t="array" aca="1" ref="I19" ca="1">INDIRECT(I2)</f>
        <v>Rien n'est acquis.</v>
      </c>
      <c r="J19" s="60"/>
      <c r="K19" s="60"/>
      <c r="L19" s="60"/>
      <c r="M19" s="60"/>
      <c r="N19" s="60"/>
      <c r="O19" s="60"/>
      <c r="P19" s="60"/>
      <c r="AE19" s="46"/>
    </row>
    <row r="20" spans="1:31" ht="33" customHeight="1" x14ac:dyDescent="0.2">
      <c r="G20" s="44"/>
      <c r="H20" s="2" t="str">
        <f ca="1">OFFSET($A$1,0,U3) &amp; " - " &amp; OFFSET($A$1,T3,0)</f>
        <v>Stratégie - Émergence</v>
      </c>
      <c r="I20" s="60" t="str" cm="1">
        <f t="array" aca="1" ref="I20" ca="1">INDIRECT(I3)</f>
        <v>Aucune ambition.</v>
      </c>
      <c r="J20" s="60"/>
      <c r="K20" s="60"/>
      <c r="L20" s="60"/>
      <c r="M20" s="60"/>
      <c r="N20" s="60"/>
      <c r="O20" s="60"/>
      <c r="P20" s="60"/>
    </row>
    <row r="21" spans="1:31" ht="16" x14ac:dyDescent="0.2">
      <c r="G21" s="44"/>
      <c r="H21" s="2" t="str">
        <f ca="1">OFFSET($A$1,0,U4) &amp; " - " &amp; OFFSET($A$1,T4,0)</f>
        <v>Culture - Émergence</v>
      </c>
      <c r="I21" s="60" t="str" cm="1">
        <f t="array" aca="1" ref="I21" ca="1">INDIRECT(I4)</f>
        <v>Absence d'implication</v>
      </c>
      <c r="J21" s="60"/>
      <c r="K21" s="60"/>
      <c r="L21" s="60"/>
      <c r="M21" s="60"/>
      <c r="N21" s="60"/>
      <c r="O21" s="60"/>
      <c r="P21" s="60"/>
    </row>
    <row r="22" spans="1:31" x14ac:dyDescent="0.2">
      <c r="G22" s="44"/>
      <c r="I22" s="2"/>
    </row>
    <row r="23" spans="1:31" ht="16" x14ac:dyDescent="0.2">
      <c r="G23" s="43" t="s">
        <v>197</v>
      </c>
      <c r="H23" s="2" t="str">
        <f ca="1">OFFSET($A$1,0,Y2) &amp; " - " &amp; OFFSET($A$1,X2,0)</f>
        <v>Potentiel - Émergence</v>
      </c>
      <c r="I23" s="60" t="str" cm="1">
        <f t="array" aca="1" ref="I23" ca="1">INDIRECT(J2)</f>
        <v>L'entreprise n'a pas de moyens techniques pour permettre l'expérimentation de solutions IA.</v>
      </c>
      <c r="J23" s="60"/>
      <c r="K23" s="60"/>
      <c r="L23" s="60"/>
      <c r="M23" s="60"/>
      <c r="N23" s="60"/>
      <c r="O23" s="60"/>
      <c r="P23" s="60"/>
    </row>
    <row r="24" spans="1:31" ht="16" x14ac:dyDescent="0.2">
      <c r="G24" s="44"/>
      <c r="H24" s="2" t="str">
        <f ca="1">OFFSET($A$1,0,Y3) &amp; " - " &amp; OFFSET($A$1,X3,0)</f>
        <v>Stratégie - Émergence</v>
      </c>
      <c r="I24" s="60" t="str" cm="1">
        <f t="array" aca="1" ref="I24" ca="1">INDIRECT(J3)</f>
        <v>L'IA absente des réflexions stratégiques de l'entreprise.</v>
      </c>
      <c r="J24" s="60"/>
      <c r="K24" s="60"/>
      <c r="L24" s="60"/>
      <c r="M24" s="60"/>
      <c r="N24" s="60"/>
      <c r="O24" s="60"/>
      <c r="P24" s="60"/>
      <c r="Q24" s="60"/>
    </row>
    <row r="25" spans="1:31" ht="16" x14ac:dyDescent="0.2">
      <c r="G25" s="44"/>
      <c r="H25" s="2" t="str">
        <f ca="1">OFFSET($A$1,0,Y4) &amp; " - " &amp; OFFSET($A$1,X4,0)</f>
        <v>Culture - Émergence</v>
      </c>
      <c r="I25" s="60" t="str" cm="1">
        <f t="array" aca="1" ref="I25" ca="1">INDIRECT(J4)</f>
        <v>Les managers ne sont pas sensibilisés à l'IA</v>
      </c>
      <c r="J25" s="60"/>
      <c r="K25" s="60"/>
      <c r="L25" s="60"/>
      <c r="M25" s="60"/>
      <c r="N25" s="60"/>
      <c r="O25" s="60"/>
      <c r="P25" s="60"/>
    </row>
    <row r="26" spans="1:31" x14ac:dyDescent="0.2">
      <c r="G26" s="44"/>
    </row>
    <row r="27" spans="1:31" ht="16" x14ac:dyDescent="0.2">
      <c r="G27" s="43" t="s">
        <v>776</v>
      </c>
      <c r="H27" s="2" t="str">
        <f ca="1">OFFSET($A$1,0,Y2) &amp; " - " &amp; OFFSET($A$1,X2,0)</f>
        <v>Potentiel - Émergence</v>
      </c>
      <c r="I27" s="60" t="str" cm="1">
        <f t="array" aca="1" ref="I27" ca="1">INDIRECT(K2)</f>
        <v>Recenser les besoins minimaux en calcul, stockage et environnements ; définir une architecture initiale et les moyens IT/cloud mobilisables.</v>
      </c>
      <c r="J27" s="60"/>
      <c r="K27" s="60"/>
      <c r="L27" s="60"/>
      <c r="M27" s="60"/>
      <c r="N27" s="60"/>
      <c r="O27" s="60"/>
      <c r="P27" s="60"/>
    </row>
    <row r="28" spans="1:31" ht="16" x14ac:dyDescent="0.2">
      <c r="G28" s="44"/>
      <c r="H28" s="2" t="str">
        <f ca="1">OFFSET($A$1,0,Y3) &amp; " - " &amp; OFFSET($A$1,X3,0)</f>
        <v>Stratégie - Émergence</v>
      </c>
      <c r="I28" s="60" t="str" cm="1">
        <f t="array" aca="1" ref="I28" ca="1">INDIRECT(K3)</f>
        <v>Sensibiliser les dirigeants aux possibilités et enjeux de l’IA ; organiser une première réflexion sur les ambitions possibles.</v>
      </c>
      <c r="J28" s="60"/>
      <c r="K28" s="60"/>
      <c r="L28" s="60"/>
      <c r="M28" s="60"/>
      <c r="N28" s="60"/>
      <c r="O28" s="60"/>
      <c r="P28" s="60"/>
    </row>
    <row r="29" spans="1:31" ht="16" x14ac:dyDescent="0.2">
      <c r="H29" s="2" t="str">
        <f ca="1">OFFSET($A$1,0,Y4) &amp; " - " &amp; OFFSET($A$1,X4,0)</f>
        <v>Culture - Émergence</v>
      </c>
      <c r="I29" s="60" t="str" cm="1">
        <f t="array" aca="1" ref="I29" ca="1">INDIRECT(K4)</f>
        <v>Sensibiliser dirigeants et managers aux enjeux IA ; identifier les premiers sponsors et clarifier leur rôle.</v>
      </c>
      <c r="J29" s="60"/>
      <c r="K29" s="60"/>
      <c r="L29" s="60"/>
      <c r="M29" s="60"/>
      <c r="N29" s="60"/>
      <c r="O29" s="60"/>
      <c r="P29" s="60"/>
    </row>
    <row r="31" spans="1:31" ht="15" customHeight="1" x14ac:dyDescent="0.2">
      <c r="G31" s="45" t="s">
        <v>784</v>
      </c>
      <c r="H31" t="s">
        <v>114</v>
      </c>
      <c r="I31" s="60" t="str" cm="1">
        <f t="array" aca="1" ref="I31" ca="1" xml:space="preserve"> CHAR(10) &amp; "a. " &amp; INDIRECT(OFFSET(TMatrice!$BF$2,MatriceEntreprise!AM2-1,MatriceEntreprise!AD2-1) &amp; AL2 +5) &amp; CHAR(10) &amp; "b. " &amp; INDIRECT(OFFSET(TMatrice!$BF$2,MatriceEntreprise!AM3-1,MatriceEntreprise!AD3-1) &amp; AL3 +5)</f>
        <v xml:space="preserve">
a. Mettre en place un environnement d’expérimentation dédié à l'IA ; définir des configurations reproductibles et les modalités d’accès aux ressources.
b. Sensibiliser les dirigeants aux possibilités et enjeux de l’IA ; organiser une première réflexion sur les ambitions possibles.</v>
      </c>
      <c r="J31" s="60"/>
      <c r="K31" s="60"/>
      <c r="L31" s="60"/>
      <c r="M31" s="60"/>
      <c r="N31" s="60"/>
      <c r="O31" s="60"/>
      <c r="P31" s="60"/>
    </row>
    <row r="32" spans="1:31" ht="30" customHeight="1" x14ac:dyDescent="0.2">
      <c r="H32"/>
      <c r="I32" s="60"/>
      <c r="J32" s="60"/>
      <c r="K32" s="60"/>
      <c r="L32" s="60"/>
      <c r="M32" s="60"/>
      <c r="N32" s="60"/>
      <c r="O32" s="60"/>
      <c r="P32" s="60"/>
    </row>
    <row r="33" spans="8:16" ht="15" customHeight="1" x14ac:dyDescent="0.2">
      <c r="H33" t="s">
        <v>117</v>
      </c>
      <c r="I33" s="60" t="str" cm="1">
        <f t="array" aca="1" ref="I33" ca="1" xml:space="preserve"> CHAR(10) &amp; "a. " &amp; INDIRECT(OFFSET(TMatrice!$BF$2,MatriceEntreprise!AM4-1,MatriceEntreprise!AD4-1) &amp; AL4 +5) &amp; CHAR(10) &amp; "b. " &amp; INDIRECT(OFFSET(TMatrice!$BF$2,MatriceEntreprise!AM5-1,MatriceEntreprise!AD5-1) &amp; AL5 +5)</f>
        <v xml:space="preserve">
a. Mettre en place un environnement d’expérimentation dédié à l'IA ; définir des configurations reproductibles et les modalités d’accès aux ressources.
b. Sensibiliser les dirigeants aux possibilités et enjeux de l’IA ; organiser une première réflexion sur les ambitions possibles.</v>
      </c>
      <c r="J33" s="60"/>
      <c r="K33" s="60"/>
      <c r="L33" s="60"/>
      <c r="M33" s="60"/>
      <c r="N33" s="60"/>
      <c r="O33" s="60"/>
      <c r="P33" s="60"/>
    </row>
    <row r="34" spans="8:16" ht="31" customHeight="1" x14ac:dyDescent="0.2">
      <c r="H34"/>
      <c r="I34" s="60"/>
      <c r="J34" s="60"/>
      <c r="K34" s="60"/>
      <c r="L34" s="60"/>
      <c r="M34" s="60"/>
      <c r="N34" s="60"/>
      <c r="O34" s="60"/>
      <c r="P34" s="60"/>
    </row>
    <row r="35" spans="8:16" ht="15" customHeight="1" x14ac:dyDescent="0.2">
      <c r="H35" t="s">
        <v>121</v>
      </c>
      <c r="I35" s="60" t="str" cm="1">
        <f t="array" aca="1" ref="I35" ca="1" xml:space="preserve"> CHAR(10) &amp; "a. " &amp; INDIRECT(OFFSET(TMatrice!$BF$2,MatriceEntreprise!AM6-1,MatriceEntreprise!AD6-1) &amp; AL6 +5) &amp; CHAR(10) &amp; "b. " &amp; INDIRECT(OFFSET(TMatrice!$BF$2,MatriceEntreprise!AM7-1,MatriceEntreprise!AD7-1) &amp; AL7 +5)</f>
        <v xml:space="preserve">
a. Mettre en place un environnement d’expérimentation dédié à l'IA ; définir des configurations reproductibles et les modalités d’accès aux ressources.
b. Sensibiliser les dirigeants aux possibilités et enjeux de l’IA ; organiser une première réflexion sur les ambitions possibles.</v>
      </c>
      <c r="J35" s="60"/>
      <c r="K35" s="60"/>
      <c r="L35" s="60"/>
      <c r="M35" s="60"/>
      <c r="N35" s="60"/>
      <c r="O35" s="60"/>
      <c r="P35" s="60"/>
    </row>
    <row r="36" spans="8:16" ht="30" customHeight="1" x14ac:dyDescent="0.2">
      <c r="H36"/>
      <c r="I36" s="60"/>
      <c r="J36" s="60"/>
      <c r="K36" s="60"/>
      <c r="L36" s="60"/>
      <c r="M36" s="60"/>
      <c r="N36" s="60"/>
      <c r="O36" s="60"/>
      <c r="P36" s="60"/>
    </row>
    <row r="37" spans="8:16" ht="31" customHeight="1" x14ac:dyDescent="0.2">
      <c r="H37" t="s">
        <v>125</v>
      </c>
      <c r="I37" s="60" t="str" cm="1">
        <f t="array" aca="1" ref="I37" ca="1" xml:space="preserve"> CHAR(10) &amp; "a. " &amp; INDIRECT(OFFSET(TMatrice!$BF$2,MatriceEntreprise!AM8-1,MatriceEntreprise!AD8-1) &amp; AL8 +5) &amp; CHAR(10) &amp; "b. " &amp; INDIRECT(OFFSET(TMatrice!$BF$2,MatriceEntreprise!AM9-1,MatriceEntreprise!AD9-1) &amp; AL9 +5)</f>
        <v xml:space="preserve">
a. Recenser les besoins minimaux en calcul, stockage et environnements ; définir une architecture initiale et les moyens IT/cloud mobilisables.
b. Sensibiliser les dirigeants aux possibilités et enjeux de l’IA ; organiser une première réflexion sur les ambitions possibles.</v>
      </c>
      <c r="J37" s="60"/>
      <c r="K37" s="60"/>
      <c r="L37" s="60"/>
      <c r="M37" s="60"/>
      <c r="N37" s="60"/>
      <c r="O37" s="60"/>
      <c r="P37" s="60"/>
    </row>
    <row r="38" spans="8:16" x14ac:dyDescent="0.2">
      <c r="H38"/>
      <c r="I38" s="60"/>
      <c r="J38" s="60"/>
      <c r="K38" s="60"/>
      <c r="L38" s="60"/>
      <c r="M38" s="60"/>
      <c r="N38" s="60"/>
      <c r="O38" s="60"/>
      <c r="P38" s="60"/>
    </row>
    <row r="39" spans="8:16" ht="29" customHeight="1" x14ac:dyDescent="0.2">
      <c r="H39" t="s">
        <v>129</v>
      </c>
      <c r="I39" s="60" t="str" cm="1">
        <f t="array" aca="1" ref="I39" ca="1" xml:space="preserve"> CHAR(10) &amp; "a. " &amp; INDIRECT(OFFSET(TMatrice!$BF$2,MatriceEntreprise!AM10-1,MatriceEntreprise!AD10-1) &amp; AL10 +5) &amp; CHAR(10) &amp; "b. " &amp; INDIRECT(OFFSET(TMatrice!$BF$2,MatriceEntreprise!AM11-1,MatriceEntreprise!AD11-1) &amp; AL11 +5)</f>
        <v xml:space="preserve">
a. Recenser les besoins minimaux en calcul, stockage et environnements ; définir une architecture initiale et les moyens IT/cloud mobilisables.
b. Sensibiliser les dirigeants aux possibilités et enjeux de l’IA ; organiser une première réflexion sur les ambitions possibles.</v>
      </c>
      <c r="J39" s="60"/>
      <c r="K39" s="60"/>
      <c r="L39" s="60"/>
      <c r="M39" s="60"/>
      <c r="N39" s="60"/>
      <c r="O39" s="60"/>
      <c r="P39" s="60"/>
    </row>
    <row r="40" spans="8:16" x14ac:dyDescent="0.2">
      <c r="I40" s="60"/>
      <c r="J40" s="60"/>
      <c r="K40" s="60"/>
      <c r="L40" s="60"/>
      <c r="M40" s="60"/>
      <c r="N40" s="60"/>
      <c r="O40" s="60"/>
      <c r="P40" s="60"/>
    </row>
  </sheetData>
  <dataConsolidate/>
  <mergeCells count="19">
    <mergeCell ref="F13:G13"/>
    <mergeCell ref="I31:P32"/>
    <mergeCell ref="I33:P34"/>
    <mergeCell ref="I29:P29"/>
    <mergeCell ref="I23:P23"/>
    <mergeCell ref="I24:Q24"/>
    <mergeCell ref="I25:P25"/>
    <mergeCell ref="F15:G15"/>
    <mergeCell ref="F16:G16"/>
    <mergeCell ref="I21:P21"/>
    <mergeCell ref="I20:P20"/>
    <mergeCell ref="I19:P19"/>
    <mergeCell ref="I27:P27"/>
    <mergeCell ref="I28:P28"/>
    <mergeCell ref="I35:P36"/>
    <mergeCell ref="I37:P38"/>
    <mergeCell ref="I39:P40"/>
    <mergeCell ref="F14:G14"/>
    <mergeCell ref="F17:G17"/>
  </mergeCells>
  <pageMargins left="0.7" right="0.7" top="0.75" bottom="0.75" header="0.3" footer="0.3"/>
  <pageSetup paperSize="9"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1028" r:id="rId3" name="Button 4">
              <controlPr defaultSize="0" print="0" autoFill="0" autoPict="0" macro="[0]!Feuil7.ExporterRapportHTML">
                <anchor moveWithCells="1" sizeWithCells="1">
                  <from>
                    <xdr:col>7</xdr:col>
                    <xdr:colOff>190500</xdr:colOff>
                    <xdr:row>2</xdr:row>
                    <xdr:rowOff>88900</xdr:rowOff>
                  </from>
                  <to>
                    <xdr:col>7</xdr:col>
                    <xdr:colOff>1727200</xdr:colOff>
                    <xdr:row>4</xdr:row>
                    <xdr:rowOff>63500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68A63EAE-3AE9-E94F-932D-D6644537D83B}">
          <x14:formula1>
            <xm:f>Réponses!$B$1:$B$6</xm:f>
          </x14:formula1>
          <xm:sqref>H1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8"/>
  <dimension ref="A1:H12"/>
  <sheetViews>
    <sheetView showGridLines="0" zoomScale="125" zoomScaleNormal="125" workbookViewId="0">
      <pane ySplit="4" topLeftCell="A5" activePane="bottomLeft" state="frozen"/>
      <selection activeCell="J6" sqref="J6"/>
      <selection pane="bottomLeft" activeCell="B4" sqref="B4"/>
    </sheetView>
  </sheetViews>
  <sheetFormatPr baseColWidth="10" defaultColWidth="8.83203125" defaultRowHeight="15" x14ac:dyDescent="0.2"/>
  <cols>
    <col min="1" max="1" width="8.6640625" style="18" bestFit="1" customWidth="1"/>
    <col min="2" max="2" width="20.33203125" style="18" bestFit="1" customWidth="1"/>
    <col min="3" max="3" width="34.6640625" style="18" customWidth="1"/>
    <col min="4" max="8" width="25" style="18" customWidth="1"/>
    <col min="9" max="9" width="8.83203125" style="18" customWidth="1"/>
    <col min="10" max="16384" width="8.83203125" style="18"/>
  </cols>
  <sheetData>
    <row r="1" spans="1:8" ht="21" x14ac:dyDescent="0.25">
      <c r="A1" s="67" t="str">
        <f t="array" aca="1" ref="A1" ca="1">INDIRECT("IndexQuestions!A" &amp; (A2+3)) &amp; " - " &amp; INDIRECT("IndexQuestions!B" &amp; (A2+3)) &amp; " - " &amp; INDIRECT("IndexQuestions!C" &amp; (A2+3)) &amp; " - " &amp; INDIRECT("IndexQuestions!D" &amp; (A2+3))</f>
        <v>Q01 - POTENTIEL - Emergence - Soutien à l'IA</v>
      </c>
      <c r="B1" s="57"/>
      <c r="C1" s="57"/>
      <c r="D1" s="57"/>
      <c r="E1" s="57"/>
      <c r="F1" s="57"/>
      <c r="G1" s="57"/>
      <c r="H1" s="57"/>
    </row>
    <row r="2" spans="1:8" x14ac:dyDescent="0.2">
      <c r="A2" s="24" t="str">
        <f t="array" aca="1" ref="A2" ca="1">RIGHT(CELL("nomfichier",A3),2)</f>
        <v>01</v>
      </c>
      <c r="B2" s="66" t="str">
        <f t="array" aca="1" ref="B2" ca="1">INDIRECT("IndexQuestions!E" &amp; (A2+3))</f>
        <v>Quelles sont les infrastructures technologiques en place pour soutenir des projets d’IA ?</v>
      </c>
      <c r="C2" s="64"/>
      <c r="D2" s="64"/>
      <c r="E2" s="64"/>
      <c r="F2" s="64"/>
      <c r="G2" s="64"/>
      <c r="H2" s="65"/>
    </row>
    <row r="3" spans="1:8" x14ac:dyDescent="0.2">
      <c r="A3" s="24" t="s">
        <v>0</v>
      </c>
      <c r="B3" s="63" t="s">
        <v>783</v>
      </c>
      <c r="C3" s="64"/>
      <c r="D3" s="64"/>
      <c r="E3" s="64"/>
      <c r="F3" s="64"/>
      <c r="G3" s="64"/>
      <c r="H3" s="65"/>
    </row>
    <row r="4" spans="1:8" ht="16" x14ac:dyDescent="0.2">
      <c r="A4" s="23" t="s">
        <v>1</v>
      </c>
      <c r="B4" s="23" t="s">
        <v>2</v>
      </c>
      <c r="C4" s="23" t="s">
        <v>3</v>
      </c>
      <c r="D4" s="23" t="s">
        <v>4</v>
      </c>
      <c r="E4" s="23" t="s">
        <v>5</v>
      </c>
      <c r="F4" s="23" t="s">
        <v>6</v>
      </c>
      <c r="G4" s="23" t="s">
        <v>7</v>
      </c>
      <c r="H4" s="23" t="s">
        <v>8</v>
      </c>
    </row>
    <row r="5" spans="1:8" ht="80" x14ac:dyDescent="0.2">
      <c r="A5" s="22">
        <v>0</v>
      </c>
      <c r="B5" s="21" t="s">
        <v>10</v>
      </c>
      <c r="C5" s="19" t="s">
        <v>11</v>
      </c>
      <c r="D5" s="19" t="s">
        <v>12</v>
      </c>
      <c r="E5" s="19" t="s">
        <v>13</v>
      </c>
      <c r="F5" s="19" t="s">
        <v>14</v>
      </c>
      <c r="G5" s="19" t="s">
        <v>15</v>
      </c>
      <c r="H5" s="19" t="s">
        <v>16</v>
      </c>
    </row>
    <row r="6" spans="1:8" ht="96" x14ac:dyDescent="0.2">
      <c r="A6" s="22">
        <v>1</v>
      </c>
      <c r="B6" s="21" t="s">
        <v>17</v>
      </c>
      <c r="C6" s="19" t="s">
        <v>18</v>
      </c>
      <c r="D6" s="19" t="s">
        <v>19</v>
      </c>
      <c r="E6" s="19" t="s">
        <v>20</v>
      </c>
      <c r="F6" s="19" t="s">
        <v>21</v>
      </c>
      <c r="G6" s="19" t="s">
        <v>683</v>
      </c>
      <c r="H6" s="19" t="s">
        <v>22</v>
      </c>
    </row>
    <row r="7" spans="1:8" ht="96" x14ac:dyDescent="0.2">
      <c r="A7" s="22">
        <v>2</v>
      </c>
      <c r="B7" s="21" t="s">
        <v>23</v>
      </c>
      <c r="C7" s="19" t="s">
        <v>686</v>
      </c>
      <c r="D7" s="19" t="s">
        <v>24</v>
      </c>
      <c r="E7" s="19" t="s">
        <v>25</v>
      </c>
      <c r="F7" s="19" t="s">
        <v>26</v>
      </c>
      <c r="G7" s="19" t="s">
        <v>27</v>
      </c>
      <c r="H7" s="19" t="s">
        <v>689</v>
      </c>
    </row>
    <row r="8" spans="1:8" ht="96" x14ac:dyDescent="0.2">
      <c r="A8" s="22">
        <v>3</v>
      </c>
      <c r="B8" s="21" t="s">
        <v>688</v>
      </c>
      <c r="C8" s="19" t="s">
        <v>684</v>
      </c>
      <c r="D8" s="19" t="s">
        <v>685</v>
      </c>
      <c r="E8" s="19" t="s">
        <v>691</v>
      </c>
      <c r="F8" s="19" t="s">
        <v>29</v>
      </c>
      <c r="G8" s="19" t="s">
        <v>30</v>
      </c>
      <c r="H8" s="19" t="s">
        <v>31</v>
      </c>
    </row>
    <row r="9" spans="1:8" ht="80" x14ac:dyDescent="0.2">
      <c r="A9" s="22">
        <v>4</v>
      </c>
      <c r="B9" s="21" t="s">
        <v>32</v>
      </c>
      <c r="C9" s="19" t="s">
        <v>33</v>
      </c>
      <c r="D9" s="19" t="s">
        <v>34</v>
      </c>
      <c r="E9" s="19" t="s">
        <v>690</v>
      </c>
      <c r="F9" s="19" t="s">
        <v>35</v>
      </c>
      <c r="G9" s="19" t="s">
        <v>36</v>
      </c>
      <c r="H9" s="19" t="s">
        <v>37</v>
      </c>
    </row>
    <row r="10" spans="1:8" ht="96" x14ac:dyDescent="0.2">
      <c r="A10" s="22">
        <v>5</v>
      </c>
      <c r="B10" s="21" t="s">
        <v>38</v>
      </c>
      <c r="C10" s="19" t="s">
        <v>39</v>
      </c>
      <c r="D10" s="19" t="s">
        <v>40</v>
      </c>
      <c r="E10" s="19" t="s">
        <v>41</v>
      </c>
      <c r="F10" s="19" t="s">
        <v>42</v>
      </c>
      <c r="G10" s="19" t="s">
        <v>43</v>
      </c>
      <c r="H10" s="19" t="s">
        <v>44</v>
      </c>
    </row>
    <row r="12" spans="1:8" x14ac:dyDescent="0.2">
      <c r="C12" s="2"/>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1:H10"/>
  <sheetViews>
    <sheetView showGridLines="0" zoomScale="125" zoomScaleNormal="125" workbookViewId="0">
      <pane ySplit="4" topLeftCell="A7" activePane="bottomLeft" state="frozen"/>
      <selection activeCell="J6" sqref="J6"/>
      <selection pane="bottomLeft" activeCell="B4" sqref="B4"/>
    </sheetView>
  </sheetViews>
  <sheetFormatPr baseColWidth="10" defaultColWidth="8.83203125" defaultRowHeight="15" x14ac:dyDescent="0.2"/>
  <cols>
    <col min="1" max="1" width="8.33203125" style="18" bestFit="1" customWidth="1"/>
    <col min="2" max="2" width="17.6640625" style="18" bestFit="1" customWidth="1"/>
    <col min="3" max="3" width="34.6640625" style="18" customWidth="1"/>
    <col min="4" max="8" width="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Q02 - POTENTIEL - Structuration - Data</v>
      </c>
      <c r="B1" s="57"/>
      <c r="C1" s="57"/>
      <c r="D1" s="57"/>
      <c r="E1" s="57"/>
      <c r="F1" s="57"/>
      <c r="G1" s="57"/>
      <c r="H1" s="57"/>
    </row>
    <row r="2" spans="1:8" x14ac:dyDescent="0.2">
      <c r="A2" s="24" t="str">
        <f t="array" aca="1" ref="A2" ca="1">RIGHT(CELL("nomfichier",A3),2)</f>
        <v>02</v>
      </c>
      <c r="B2" s="66" t="str">
        <f t="array" aca="1" ref="B2" ca="1">INDIRECT("IndexQuestions!E" &amp; (A2+3))</f>
        <v>Dans quelle mesure l’entreprise dispose-t-elle de données accessibles, fiables et exploitables pour ses usages d’IA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0" customHeight="1" x14ac:dyDescent="0.2">
      <c r="A5" s="22">
        <v>0</v>
      </c>
      <c r="B5" s="21" t="s">
        <v>10</v>
      </c>
      <c r="C5" s="19" t="s">
        <v>198</v>
      </c>
      <c r="D5" s="19" t="s">
        <v>198</v>
      </c>
      <c r="E5" s="19" t="s">
        <v>199</v>
      </c>
      <c r="F5" s="19" t="s">
        <v>200</v>
      </c>
      <c r="G5" s="19" t="s">
        <v>692</v>
      </c>
      <c r="H5" s="19" t="s">
        <v>201</v>
      </c>
    </row>
    <row r="6" spans="1:8" ht="80" x14ac:dyDescent="0.2">
      <c r="A6" s="22">
        <v>1</v>
      </c>
      <c r="B6" s="21" t="s">
        <v>202</v>
      </c>
      <c r="C6" s="19" t="s">
        <v>203</v>
      </c>
      <c r="D6" s="19" t="s">
        <v>204</v>
      </c>
      <c r="E6" s="19" t="s">
        <v>205</v>
      </c>
      <c r="F6" s="19" t="s">
        <v>206</v>
      </c>
      <c r="G6" s="19" t="s">
        <v>207</v>
      </c>
      <c r="H6" s="19" t="s">
        <v>208</v>
      </c>
    </row>
    <row r="7" spans="1:8" ht="80" customHeight="1" x14ac:dyDescent="0.2">
      <c r="A7" s="22">
        <v>2</v>
      </c>
      <c r="B7" s="21" t="s">
        <v>23</v>
      </c>
      <c r="C7" s="19" t="s">
        <v>209</v>
      </c>
      <c r="D7" s="19" t="s">
        <v>210</v>
      </c>
      <c r="E7" s="19" t="s">
        <v>211</v>
      </c>
      <c r="F7" s="19" t="s">
        <v>212</v>
      </c>
      <c r="G7" s="19" t="s">
        <v>213</v>
      </c>
      <c r="H7" s="19" t="s">
        <v>214</v>
      </c>
    </row>
    <row r="8" spans="1:8" ht="96" customHeight="1" x14ac:dyDescent="0.2">
      <c r="A8" s="22">
        <v>3</v>
      </c>
      <c r="B8" s="21" t="s">
        <v>215</v>
      </c>
      <c r="C8" s="19" t="s">
        <v>216</v>
      </c>
      <c r="D8" s="19" t="s">
        <v>217</v>
      </c>
      <c r="E8" s="19" t="s">
        <v>218</v>
      </c>
      <c r="F8" s="19" t="s">
        <v>219</v>
      </c>
      <c r="G8" s="19" t="s">
        <v>220</v>
      </c>
      <c r="H8" s="19" t="s">
        <v>221</v>
      </c>
    </row>
    <row r="9" spans="1:8" ht="112" customHeight="1" x14ac:dyDescent="0.2">
      <c r="A9" s="22">
        <v>4</v>
      </c>
      <c r="B9" s="21" t="s">
        <v>28</v>
      </c>
      <c r="C9" s="19" t="s">
        <v>222</v>
      </c>
      <c r="D9" s="19" t="s">
        <v>223</v>
      </c>
      <c r="E9" s="19" t="s">
        <v>224</v>
      </c>
      <c r="F9" s="19" t="s">
        <v>225</v>
      </c>
      <c r="G9" s="19" t="s">
        <v>693</v>
      </c>
      <c r="H9" s="19" t="s">
        <v>694</v>
      </c>
    </row>
    <row r="10" spans="1:8" ht="128" customHeight="1" x14ac:dyDescent="0.2">
      <c r="A10" s="22">
        <v>5</v>
      </c>
      <c r="B10" s="21" t="s">
        <v>226</v>
      </c>
      <c r="C10" s="19" t="s">
        <v>227</v>
      </c>
      <c r="D10" s="19" t="s">
        <v>228</v>
      </c>
      <c r="E10" s="19" t="s">
        <v>229</v>
      </c>
      <c r="F10" s="19" t="s">
        <v>695</v>
      </c>
      <c r="G10" s="19" t="s">
        <v>696</v>
      </c>
      <c r="H10" s="19" t="s">
        <v>697</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dimension ref="A1:H10"/>
  <sheetViews>
    <sheetView showGridLines="0" zoomScale="125" zoomScaleNormal="125" workbookViewId="0">
      <pane ySplit="4" topLeftCell="A7" activePane="bottomLeft" state="frozen"/>
      <selection activeCell="J6" sqref="J6"/>
      <selection pane="bottomLeft" activeCell="B4" sqref="B4"/>
    </sheetView>
  </sheetViews>
  <sheetFormatPr baseColWidth="10" defaultColWidth="8.83203125" defaultRowHeight="15" x14ac:dyDescent="0.2"/>
  <cols>
    <col min="1" max="1" width="8.33203125" style="18" bestFit="1" customWidth="1"/>
    <col min="2" max="2" width="21.6640625" style="18" bestFit="1" customWidth="1"/>
    <col min="3" max="3" width="34.6640625" style="18" customWidth="1"/>
    <col min="4" max="8" width="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Q03 - POTENTIEL - Industrialisation - Cas d'usage potentiels</v>
      </c>
      <c r="B1" s="57"/>
      <c r="C1" s="57"/>
      <c r="D1" s="57"/>
      <c r="E1" s="57"/>
      <c r="F1" s="57"/>
      <c r="G1" s="57"/>
      <c r="H1" s="57"/>
    </row>
    <row r="2" spans="1:8" x14ac:dyDescent="0.2">
      <c r="A2" s="24" t="str">
        <f t="array" aca="1" ref="A2" ca="1">RIGHT(CELL("nomfichier",A3),2)</f>
        <v>03</v>
      </c>
      <c r="B2" s="66" t="str">
        <f t="array" aca="1" ref="B2" ca="1">INDIRECT("IndexQuestions!E" &amp; (A2+3))</f>
        <v>Dans quelle mesure les activités de l’entreprise présentent-elles un potentiel d’application de l’IA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0" customHeight="1" x14ac:dyDescent="0.2">
      <c r="A5" s="22">
        <v>0</v>
      </c>
      <c r="B5" s="21" t="s">
        <v>230</v>
      </c>
      <c r="C5" s="19" t="s">
        <v>231</v>
      </c>
      <c r="D5" s="19" t="s">
        <v>232</v>
      </c>
      <c r="E5" s="19" t="s">
        <v>233</v>
      </c>
      <c r="F5" s="19" t="s">
        <v>234</v>
      </c>
      <c r="G5" s="19" t="s">
        <v>235</v>
      </c>
      <c r="H5" s="19" t="s">
        <v>236</v>
      </c>
    </row>
    <row r="6" spans="1:8" ht="64" customHeight="1" x14ac:dyDescent="0.2">
      <c r="A6" s="22">
        <v>1</v>
      </c>
      <c r="B6" s="21" t="s">
        <v>237</v>
      </c>
      <c r="C6" s="19" t="s">
        <v>238</v>
      </c>
      <c r="D6" s="19" t="s">
        <v>239</v>
      </c>
      <c r="E6" s="19" t="s">
        <v>240</v>
      </c>
      <c r="F6" s="19" t="s">
        <v>241</v>
      </c>
      <c r="G6" s="19" t="s">
        <v>242</v>
      </c>
      <c r="H6" s="19" t="s">
        <v>243</v>
      </c>
    </row>
    <row r="7" spans="1:8" ht="80" customHeight="1" x14ac:dyDescent="0.2">
      <c r="A7" s="22">
        <v>2</v>
      </c>
      <c r="B7" s="21" t="s">
        <v>244</v>
      </c>
      <c r="C7" s="19" t="s">
        <v>245</v>
      </c>
      <c r="D7" s="19" t="s">
        <v>246</v>
      </c>
      <c r="E7" s="19" t="s">
        <v>247</v>
      </c>
      <c r="F7" s="19" t="s">
        <v>248</v>
      </c>
      <c r="G7" s="19" t="s">
        <v>249</v>
      </c>
      <c r="H7" s="19" t="s">
        <v>250</v>
      </c>
    </row>
    <row r="8" spans="1:8" ht="80" customHeight="1" x14ac:dyDescent="0.2">
      <c r="A8" s="22">
        <v>3</v>
      </c>
      <c r="B8" s="21" t="s">
        <v>251</v>
      </c>
      <c r="C8" s="19" t="s">
        <v>252</v>
      </c>
      <c r="D8" s="19" t="s">
        <v>253</v>
      </c>
      <c r="E8" s="19" t="s">
        <v>254</v>
      </c>
      <c r="F8" s="19" t="s">
        <v>255</v>
      </c>
      <c r="G8" s="19" t="s">
        <v>698</v>
      </c>
      <c r="H8" s="19" t="s">
        <v>256</v>
      </c>
    </row>
    <row r="9" spans="1:8" ht="97" customHeight="1" x14ac:dyDescent="0.2">
      <c r="A9" s="22">
        <v>4</v>
      </c>
      <c r="B9" s="21" t="s">
        <v>257</v>
      </c>
      <c r="C9" s="19" t="s">
        <v>258</v>
      </c>
      <c r="D9" s="19" t="s">
        <v>259</v>
      </c>
      <c r="E9" s="19" t="s">
        <v>260</v>
      </c>
      <c r="F9" s="19" t="s">
        <v>261</v>
      </c>
      <c r="G9" s="19" t="s">
        <v>699</v>
      </c>
      <c r="H9" s="19" t="s">
        <v>262</v>
      </c>
    </row>
    <row r="10" spans="1:8" ht="112" customHeight="1" x14ac:dyDescent="0.2">
      <c r="A10" s="22">
        <v>5</v>
      </c>
      <c r="B10" s="21" t="s">
        <v>263</v>
      </c>
      <c r="C10" s="19" t="s">
        <v>264</v>
      </c>
      <c r="D10" s="19" t="s">
        <v>265</v>
      </c>
      <c r="E10" s="19" t="s">
        <v>266</v>
      </c>
      <c r="F10" s="19" t="s">
        <v>267</v>
      </c>
      <c r="G10" s="19" t="s">
        <v>268</v>
      </c>
      <c r="H10" s="19" t="s">
        <v>269</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H15"/>
  <sheetViews>
    <sheetView showGridLines="0" zoomScale="125" zoomScaleNormal="125" workbookViewId="0">
      <pane ySplit="4" topLeftCell="A5" activePane="bottomLeft" state="frozen"/>
      <selection activeCell="B4" sqref="B4"/>
      <selection pane="bottomLeft" activeCell="B4" sqref="B4"/>
    </sheetView>
  </sheetViews>
  <sheetFormatPr baseColWidth="10" defaultColWidth="8.83203125" defaultRowHeight="15" x14ac:dyDescent="0.2"/>
  <cols>
    <col min="1" max="1" width="8.33203125" style="18" bestFit="1" customWidth="1"/>
    <col min="2" max="2" width="17.5" style="18" bestFit="1" customWidth="1"/>
    <col min="3" max="3" width="34.6640625" style="18" customWidth="1"/>
    <col min="4" max="8" width="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Q04 - STRATÉGIE - Emergence - Ambition IA</v>
      </c>
      <c r="B1" s="57"/>
      <c r="C1" s="57"/>
      <c r="D1" s="57"/>
      <c r="E1" s="57"/>
      <c r="F1" s="57"/>
      <c r="G1" s="57"/>
      <c r="H1" s="57"/>
    </row>
    <row r="2" spans="1:8" x14ac:dyDescent="0.2">
      <c r="A2" s="24" t="str">
        <f t="array" aca="1" ref="A2" ca="1">RIGHT(CELL("nomfichier",A3),2)</f>
        <v>04</v>
      </c>
      <c r="B2" s="66" t="str">
        <f t="array" aca="1" ref="B2" ca="1">INDIRECT("IndexQuestions!E" &amp; (A2+3))</f>
        <v>Quel est le niveau d’ambition de l’entreprise concernant l’IA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2" customHeight="1" x14ac:dyDescent="0.2">
      <c r="A5" s="22">
        <v>0</v>
      </c>
      <c r="B5" s="21" t="s">
        <v>10</v>
      </c>
      <c r="C5" s="19" t="s">
        <v>270</v>
      </c>
      <c r="D5" s="19" t="s">
        <v>271</v>
      </c>
      <c r="E5" s="19" t="s">
        <v>272</v>
      </c>
      <c r="F5" s="19" t="s">
        <v>273</v>
      </c>
      <c r="G5" s="19" t="s">
        <v>274</v>
      </c>
      <c r="H5" s="19" t="s">
        <v>275</v>
      </c>
    </row>
    <row r="6" spans="1:8" ht="85" customHeight="1" x14ac:dyDescent="0.2">
      <c r="A6" s="22">
        <v>1</v>
      </c>
      <c r="B6" s="21" t="s">
        <v>276</v>
      </c>
      <c r="C6" s="19" t="s">
        <v>277</v>
      </c>
      <c r="D6" s="19" t="s">
        <v>278</v>
      </c>
      <c r="E6" s="19" t="s">
        <v>777</v>
      </c>
      <c r="F6" s="19" t="s">
        <v>778</v>
      </c>
      <c r="G6" s="19" t="s">
        <v>279</v>
      </c>
      <c r="H6" s="19" t="s">
        <v>280</v>
      </c>
    </row>
    <row r="7" spans="1:8" ht="80" customHeight="1" x14ac:dyDescent="0.2">
      <c r="A7" s="22">
        <v>2</v>
      </c>
      <c r="B7" s="21" t="s">
        <v>281</v>
      </c>
      <c r="C7" s="19" t="s">
        <v>282</v>
      </c>
      <c r="D7" s="19" t="s">
        <v>283</v>
      </c>
      <c r="E7" s="19" t="s">
        <v>284</v>
      </c>
      <c r="F7" s="19" t="s">
        <v>285</v>
      </c>
      <c r="G7" s="19" t="s">
        <v>286</v>
      </c>
      <c r="H7" s="19" t="s">
        <v>287</v>
      </c>
    </row>
    <row r="8" spans="1:8" ht="80" customHeight="1" x14ac:dyDescent="0.2">
      <c r="A8" s="22">
        <v>3</v>
      </c>
      <c r="B8" s="21" t="s">
        <v>288</v>
      </c>
      <c r="C8" s="19" t="s">
        <v>289</v>
      </c>
      <c r="D8" s="19" t="s">
        <v>290</v>
      </c>
      <c r="E8" s="19" t="s">
        <v>291</v>
      </c>
      <c r="F8" s="19" t="s">
        <v>292</v>
      </c>
      <c r="G8" s="19" t="s">
        <v>293</v>
      </c>
      <c r="H8" s="19" t="s">
        <v>294</v>
      </c>
    </row>
    <row r="9" spans="1:8" ht="96" customHeight="1" x14ac:dyDescent="0.2">
      <c r="A9" s="22">
        <v>4</v>
      </c>
      <c r="B9" s="21" t="s">
        <v>295</v>
      </c>
      <c r="C9" s="19" t="s">
        <v>296</v>
      </c>
      <c r="D9" s="19" t="s">
        <v>297</v>
      </c>
      <c r="E9" s="19" t="s">
        <v>298</v>
      </c>
      <c r="F9" s="19" t="s">
        <v>299</v>
      </c>
      <c r="G9" s="19" t="s">
        <v>300</v>
      </c>
      <c r="H9" s="19" t="s">
        <v>301</v>
      </c>
    </row>
    <row r="10" spans="1:8" ht="112" customHeight="1" x14ac:dyDescent="0.2">
      <c r="A10" s="22">
        <v>5</v>
      </c>
      <c r="B10" s="21" t="s">
        <v>302</v>
      </c>
      <c r="C10" s="19" t="s">
        <v>303</v>
      </c>
      <c r="D10" s="19" t="s">
        <v>304</v>
      </c>
      <c r="E10" s="19" t="s">
        <v>305</v>
      </c>
      <c r="F10" s="19" t="s">
        <v>306</v>
      </c>
      <c r="G10" s="19" t="s">
        <v>307</v>
      </c>
      <c r="H10" s="19" t="s">
        <v>308</v>
      </c>
    </row>
    <row r="15" spans="1:8" x14ac:dyDescent="0.2">
      <c r="E15" s="42"/>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dimension ref="A1:H13"/>
  <sheetViews>
    <sheetView showGridLines="0" zoomScale="125" zoomScaleNormal="125" workbookViewId="0">
      <pane ySplit="4" topLeftCell="A7" activePane="bottomLeft" state="frozen"/>
      <selection activeCell="B4" sqref="B4"/>
      <selection pane="bottomLeft" activeCell="B4" sqref="B4"/>
    </sheetView>
  </sheetViews>
  <sheetFormatPr baseColWidth="10" defaultColWidth="8.83203125" defaultRowHeight="15" x14ac:dyDescent="0.2"/>
  <cols>
    <col min="1" max="1" width="8.33203125" style="18" bestFit="1" customWidth="1"/>
    <col min="2" max="2" width="22" style="18" bestFit="1" customWidth="1"/>
    <col min="3" max="3" width="34.6640625" style="18" customWidth="1"/>
    <col min="4" max="8" width="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Q05 - STRATÉGIE - Structuration - Feuille de route</v>
      </c>
      <c r="B1" s="57"/>
      <c r="C1" s="57"/>
      <c r="D1" s="57"/>
      <c r="E1" s="57"/>
      <c r="F1" s="57"/>
      <c r="G1" s="57"/>
      <c r="H1" s="57"/>
    </row>
    <row r="2" spans="1:8" x14ac:dyDescent="0.2">
      <c r="A2" s="24" t="str">
        <f t="array" aca="1" ref="A2" ca="1">RIGHT(CELL("nomfichier",A3),2)</f>
        <v>05</v>
      </c>
      <c r="B2" s="66" t="str">
        <f t="array" aca="1" ref="B2" ca="1">INDIRECT("IndexQuestions!E" &amp; (A2+3))</f>
        <v>Dans quelle mesure l’entreprise dispose-t-elle d’une feuille de route pour mettre en œuvre son ambition IA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3" customHeight="1" x14ac:dyDescent="0.2">
      <c r="A5" s="22">
        <v>0</v>
      </c>
      <c r="B5" s="21" t="s">
        <v>309</v>
      </c>
      <c r="C5" s="19" t="s">
        <v>310</v>
      </c>
      <c r="D5" s="19" t="s">
        <v>311</v>
      </c>
      <c r="E5" s="19" t="s">
        <v>312</v>
      </c>
      <c r="F5" s="19" t="s">
        <v>313</v>
      </c>
      <c r="G5" s="19" t="s">
        <v>314</v>
      </c>
      <c r="H5" s="19" t="s">
        <v>315</v>
      </c>
    </row>
    <row r="6" spans="1:8" ht="64" customHeight="1" x14ac:dyDescent="0.2">
      <c r="A6" s="22">
        <v>1</v>
      </c>
      <c r="B6" s="21" t="s">
        <v>316</v>
      </c>
      <c r="C6" s="19" t="s">
        <v>317</v>
      </c>
      <c r="D6" s="19" t="s">
        <v>318</v>
      </c>
      <c r="E6" s="19" t="s">
        <v>319</v>
      </c>
      <c r="F6" s="19" t="s">
        <v>320</v>
      </c>
      <c r="G6" s="19" t="s">
        <v>321</v>
      </c>
      <c r="H6" s="19" t="s">
        <v>322</v>
      </c>
    </row>
    <row r="7" spans="1:8" ht="80" customHeight="1" x14ac:dyDescent="0.2">
      <c r="A7" s="22">
        <v>2</v>
      </c>
      <c r="B7" s="21" t="s">
        <v>323</v>
      </c>
      <c r="C7" s="19" t="s">
        <v>324</v>
      </c>
      <c r="D7" s="19" t="s">
        <v>325</v>
      </c>
      <c r="E7" s="19" t="s">
        <v>326</v>
      </c>
      <c r="F7" s="19" t="s">
        <v>327</v>
      </c>
      <c r="G7" s="19" t="s">
        <v>328</v>
      </c>
      <c r="H7" s="19" t="s">
        <v>329</v>
      </c>
    </row>
    <row r="8" spans="1:8" ht="71" customHeight="1" x14ac:dyDescent="0.2">
      <c r="A8" s="22">
        <v>3</v>
      </c>
      <c r="B8" s="21" t="s">
        <v>330</v>
      </c>
      <c r="C8" s="19" t="s">
        <v>331</v>
      </c>
      <c r="D8" s="19" t="s">
        <v>332</v>
      </c>
      <c r="E8" s="19" t="s">
        <v>333</v>
      </c>
      <c r="F8" s="19" t="s">
        <v>334</v>
      </c>
      <c r="G8" s="19" t="s">
        <v>335</v>
      </c>
      <c r="H8" s="19" t="s">
        <v>336</v>
      </c>
    </row>
    <row r="9" spans="1:8" ht="112" customHeight="1" x14ac:dyDescent="0.2">
      <c r="A9" s="22">
        <v>4</v>
      </c>
      <c r="B9" s="21" t="s">
        <v>337</v>
      </c>
      <c r="C9" s="19" t="s">
        <v>338</v>
      </c>
      <c r="D9" s="19" t="s">
        <v>339</v>
      </c>
      <c r="E9" s="19" t="s">
        <v>340</v>
      </c>
      <c r="F9" s="19" t="s">
        <v>700</v>
      </c>
      <c r="G9" s="19" t="s">
        <v>702</v>
      </c>
      <c r="H9" s="19" t="s">
        <v>701</v>
      </c>
    </row>
    <row r="10" spans="1:8" ht="155" customHeight="1" x14ac:dyDescent="0.2">
      <c r="A10" s="22">
        <v>5</v>
      </c>
      <c r="B10" s="21" t="s">
        <v>341</v>
      </c>
      <c r="C10" s="19" t="s">
        <v>342</v>
      </c>
      <c r="D10" s="19" t="s">
        <v>343</v>
      </c>
      <c r="E10" s="19" t="s">
        <v>344</v>
      </c>
      <c r="F10" s="19" t="s">
        <v>345</v>
      </c>
      <c r="G10" s="19" t="s">
        <v>703</v>
      </c>
      <c r="H10" s="19" t="s">
        <v>704</v>
      </c>
    </row>
    <row r="13" spans="1:8" x14ac:dyDescent="0.2">
      <c r="E13" s="42"/>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dimension ref="A1:H10"/>
  <sheetViews>
    <sheetView showGridLines="0" zoomScale="125" zoomScaleNormal="125" workbookViewId="0">
      <pane ySplit="4" topLeftCell="A8" activePane="bottomLeft" state="frozen"/>
      <selection activeCell="B4" sqref="B4"/>
      <selection pane="bottomLeft" activeCell="B4" sqref="B4"/>
    </sheetView>
  </sheetViews>
  <sheetFormatPr baseColWidth="10" defaultColWidth="8.83203125" defaultRowHeight="15" x14ac:dyDescent="0.2"/>
  <cols>
    <col min="1" max="1" width="8.33203125" style="18" bestFit="1" customWidth="1"/>
    <col min="2" max="2" width="18.6640625" style="18" bestFit="1" customWidth="1"/>
    <col min="3" max="3" width="34.6640625" style="18" customWidth="1"/>
    <col min="4" max="8" width="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Q06 - STRATÉGIE - Industrialisation - Portefeuille/priorisation</v>
      </c>
      <c r="B1" s="57"/>
      <c r="C1" s="57"/>
      <c r="D1" s="57"/>
      <c r="E1" s="57"/>
      <c r="F1" s="57"/>
      <c r="G1" s="57"/>
      <c r="H1" s="57"/>
    </row>
    <row r="2" spans="1:8" x14ac:dyDescent="0.2">
      <c r="A2" s="24" t="str">
        <f t="array" aca="1" ref="A2" ca="1">RIGHT(CELL("nomfichier",A3),2)</f>
        <v>06</v>
      </c>
      <c r="B2" s="66" t="str">
        <f t="array" aca="1" ref="B2" ca="1">INDIRECT("IndexQuestions!E" &amp; (A2+3))</f>
        <v>Dans quelle mesure les initiatives et cas d’usage IA sont-ils priorisés en fonction des enjeux de l’entreprise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68" customHeight="1" x14ac:dyDescent="0.2">
      <c r="A5" s="22">
        <v>0</v>
      </c>
      <c r="B5" s="21" t="s">
        <v>346</v>
      </c>
      <c r="C5" s="19" t="s">
        <v>347</v>
      </c>
      <c r="D5" s="19" t="s">
        <v>348</v>
      </c>
      <c r="E5" s="19" t="s">
        <v>349</v>
      </c>
      <c r="F5" s="19" t="s">
        <v>350</v>
      </c>
      <c r="G5" s="19" t="s">
        <v>705</v>
      </c>
      <c r="H5" s="19" t="s">
        <v>351</v>
      </c>
    </row>
    <row r="6" spans="1:8" ht="64" customHeight="1" x14ac:dyDescent="0.2">
      <c r="A6" s="22">
        <v>1</v>
      </c>
      <c r="B6" s="21" t="s">
        <v>352</v>
      </c>
      <c r="C6" s="19" t="s">
        <v>353</v>
      </c>
      <c r="D6" s="19" t="s">
        <v>354</v>
      </c>
      <c r="E6" s="19" t="s">
        <v>355</v>
      </c>
      <c r="F6" s="19" t="s">
        <v>356</v>
      </c>
      <c r="G6" s="19" t="s">
        <v>706</v>
      </c>
      <c r="H6" s="19" t="s">
        <v>357</v>
      </c>
    </row>
    <row r="7" spans="1:8" ht="80" customHeight="1" x14ac:dyDescent="0.2">
      <c r="A7" s="22">
        <v>2</v>
      </c>
      <c r="B7" s="21" t="s">
        <v>358</v>
      </c>
      <c r="C7" s="19" t="s">
        <v>359</v>
      </c>
      <c r="D7" s="19" t="s">
        <v>360</v>
      </c>
      <c r="E7" s="19" t="s">
        <v>361</v>
      </c>
      <c r="F7" s="19" t="s">
        <v>362</v>
      </c>
      <c r="G7" s="19" t="s">
        <v>363</v>
      </c>
      <c r="H7" s="19" t="s">
        <v>364</v>
      </c>
    </row>
    <row r="8" spans="1:8" ht="123" customHeight="1" x14ac:dyDescent="0.2">
      <c r="A8" s="22">
        <v>3</v>
      </c>
      <c r="B8" s="21" t="s">
        <v>365</v>
      </c>
      <c r="C8" s="19" t="s">
        <v>366</v>
      </c>
      <c r="D8" s="19" t="s">
        <v>367</v>
      </c>
      <c r="E8" s="19" t="s">
        <v>368</v>
      </c>
      <c r="F8" s="19" t="s">
        <v>707</v>
      </c>
      <c r="G8" s="19" t="s">
        <v>708</v>
      </c>
      <c r="H8" s="19" t="s">
        <v>709</v>
      </c>
    </row>
    <row r="9" spans="1:8" ht="96" customHeight="1" x14ac:dyDescent="0.2">
      <c r="A9" s="22">
        <v>4</v>
      </c>
      <c r="B9" s="21" t="s">
        <v>369</v>
      </c>
      <c r="C9" s="19" t="s">
        <v>370</v>
      </c>
      <c r="D9" s="19" t="s">
        <v>371</v>
      </c>
      <c r="E9" s="19" t="s">
        <v>372</v>
      </c>
      <c r="F9" s="19" t="s">
        <v>373</v>
      </c>
      <c r="G9" s="19" t="s">
        <v>710</v>
      </c>
      <c r="H9" s="19" t="s">
        <v>711</v>
      </c>
    </row>
    <row r="10" spans="1:8" ht="176" x14ac:dyDescent="0.2">
      <c r="A10" s="22">
        <v>5</v>
      </c>
      <c r="B10" s="21" t="s">
        <v>374</v>
      </c>
      <c r="C10" s="19" t="s">
        <v>375</v>
      </c>
      <c r="D10" s="19" t="s">
        <v>376</v>
      </c>
      <c r="E10" s="19" t="s">
        <v>377</v>
      </c>
      <c r="F10" s="19" t="s">
        <v>378</v>
      </c>
      <c r="G10" s="19" t="s">
        <v>712</v>
      </c>
      <c r="H10" s="19" t="s">
        <v>713</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A1:H10"/>
  <sheetViews>
    <sheetView showGridLines="0" zoomScale="125" zoomScaleNormal="125" workbookViewId="0">
      <pane ySplit="4" topLeftCell="A6" activePane="bottomLeft" state="frozen"/>
      <selection activeCell="B4" sqref="B4"/>
      <selection pane="bottomLeft" activeCell="B4" sqref="B4"/>
    </sheetView>
  </sheetViews>
  <sheetFormatPr baseColWidth="10" defaultColWidth="8.83203125" defaultRowHeight="15" x14ac:dyDescent="0.2"/>
  <cols>
    <col min="1" max="1" width="8" style="18" customWidth="1"/>
    <col min="2" max="2" width="19" style="18" bestFit="1" customWidth="1"/>
    <col min="3" max="3" width="34.6640625" style="18" customWidth="1"/>
    <col min="4" max="8" width="25.16406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Q07 - CULTURE - Emergence - Leadership</v>
      </c>
      <c r="B1" s="57"/>
      <c r="C1" s="57"/>
      <c r="D1" s="57"/>
      <c r="E1" s="57"/>
      <c r="F1" s="57"/>
      <c r="G1" s="57"/>
      <c r="H1" s="57"/>
    </row>
    <row r="2" spans="1:8" x14ac:dyDescent="0.2">
      <c r="A2" s="24" t="str">
        <f t="array" aca="1" ref="A2" ca="1">RIGHT(CELL("nomfichier",A3),2)</f>
        <v>07</v>
      </c>
      <c r="B2" s="66" t="str">
        <f t="array" aca="1" ref="B2" ca="1">INDIRECT("IndexQuestions!E" &amp; (A2+3))</f>
        <v>Dans quelle mesure les dirigeants et managers favorisent-ils l’adoption de l’IA dans l’entreprise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0" customHeight="1" x14ac:dyDescent="0.2">
      <c r="A5" s="22" t="s">
        <v>9</v>
      </c>
      <c r="B5" s="13" t="s">
        <v>379</v>
      </c>
      <c r="C5" s="19" t="s">
        <v>380</v>
      </c>
      <c r="D5" s="19" t="s">
        <v>379</v>
      </c>
      <c r="E5" s="19" t="s">
        <v>381</v>
      </c>
      <c r="F5" s="19" t="s">
        <v>382</v>
      </c>
      <c r="G5" s="19" t="s">
        <v>383</v>
      </c>
      <c r="H5" s="19" t="s">
        <v>384</v>
      </c>
    </row>
    <row r="6" spans="1:8" ht="66" customHeight="1" x14ac:dyDescent="0.2">
      <c r="A6" s="22">
        <v>1</v>
      </c>
      <c r="B6" s="13" t="s">
        <v>385</v>
      </c>
      <c r="C6" s="19" t="s">
        <v>386</v>
      </c>
      <c r="D6" s="19" t="s">
        <v>387</v>
      </c>
      <c r="E6" s="19" t="s">
        <v>388</v>
      </c>
      <c r="F6" s="19" t="s">
        <v>389</v>
      </c>
      <c r="G6" s="19" t="s">
        <v>390</v>
      </c>
      <c r="H6" s="19" t="s">
        <v>391</v>
      </c>
    </row>
    <row r="7" spans="1:8" ht="80" customHeight="1" x14ac:dyDescent="0.2">
      <c r="A7" s="22">
        <v>2</v>
      </c>
      <c r="B7" s="13" t="s">
        <v>392</v>
      </c>
      <c r="C7" s="19" t="s">
        <v>393</v>
      </c>
      <c r="D7" s="19" t="s">
        <v>394</v>
      </c>
      <c r="E7" s="19" t="s">
        <v>395</v>
      </c>
      <c r="F7" s="19" t="s">
        <v>396</v>
      </c>
      <c r="G7" s="19" t="s">
        <v>397</v>
      </c>
      <c r="H7" s="19" t="s">
        <v>398</v>
      </c>
    </row>
    <row r="8" spans="1:8" ht="98" customHeight="1" x14ac:dyDescent="0.2">
      <c r="A8" s="22">
        <v>3</v>
      </c>
      <c r="B8" s="13" t="s">
        <v>399</v>
      </c>
      <c r="C8" s="19" t="s">
        <v>400</v>
      </c>
      <c r="D8" s="19" t="s">
        <v>401</v>
      </c>
      <c r="E8" s="19" t="s">
        <v>402</v>
      </c>
      <c r="F8" s="19" t="s">
        <v>403</v>
      </c>
      <c r="G8" s="19" t="s">
        <v>404</v>
      </c>
      <c r="H8" s="19" t="s">
        <v>405</v>
      </c>
    </row>
    <row r="9" spans="1:8" ht="103" customHeight="1" x14ac:dyDescent="0.2">
      <c r="A9" s="22">
        <v>4</v>
      </c>
      <c r="B9" s="13" t="s">
        <v>406</v>
      </c>
      <c r="C9" s="19" t="s">
        <v>407</v>
      </c>
      <c r="D9" s="19" t="s">
        <v>408</v>
      </c>
      <c r="E9" s="19" t="s">
        <v>409</v>
      </c>
      <c r="F9" s="19" t="s">
        <v>410</v>
      </c>
      <c r="G9" s="19" t="s">
        <v>411</v>
      </c>
      <c r="H9" s="19" t="s">
        <v>412</v>
      </c>
    </row>
    <row r="10" spans="1:8" ht="112" customHeight="1" x14ac:dyDescent="0.2">
      <c r="A10" s="22">
        <v>5</v>
      </c>
      <c r="B10" s="13" t="s">
        <v>413</v>
      </c>
      <c r="C10" s="19" t="s">
        <v>414</v>
      </c>
      <c r="D10" s="19" t="s">
        <v>415</v>
      </c>
      <c r="E10" s="19" t="s">
        <v>416</v>
      </c>
      <c r="F10" s="19" t="s">
        <v>417</v>
      </c>
      <c r="G10" s="19" t="s">
        <v>418</v>
      </c>
      <c r="H10" s="19" t="s">
        <v>419</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5"/>
  <dimension ref="A1:H10"/>
  <sheetViews>
    <sheetView showGridLines="0" zoomScale="125" zoomScaleNormal="125" workbookViewId="0">
      <pane ySplit="4" topLeftCell="A7" activePane="bottomLeft" state="frozen"/>
      <selection activeCell="B4" sqref="B4"/>
      <selection pane="bottomLeft" activeCell="B4" sqref="B4"/>
    </sheetView>
  </sheetViews>
  <sheetFormatPr baseColWidth="10" defaultColWidth="8.83203125" defaultRowHeight="15" x14ac:dyDescent="0.2"/>
  <cols>
    <col min="1" max="1" width="8.33203125" style="18" bestFit="1" customWidth="1"/>
    <col min="2" max="2" width="23.83203125" style="18" bestFit="1" customWidth="1"/>
    <col min="3" max="3" width="34.6640625" style="18" customWidth="1"/>
    <col min="4" max="8" width="25.1640625" style="18" customWidth="1"/>
    <col min="9" max="9" width="8.83203125" style="18" customWidth="1"/>
    <col min="10" max="10" width="27.83203125" style="18" customWidth="1"/>
    <col min="11" max="11" width="8.83203125" style="18" customWidth="1"/>
    <col min="12"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Q08 - CULTURE - Structuration - Appropriation</v>
      </c>
      <c r="B1" s="57"/>
      <c r="C1" s="57"/>
      <c r="D1" s="57"/>
      <c r="E1" s="57"/>
      <c r="F1" s="57"/>
      <c r="G1" s="57"/>
      <c r="H1" s="57"/>
    </row>
    <row r="2" spans="1:8" x14ac:dyDescent="0.2">
      <c r="A2" s="24" t="str">
        <f t="array" aca="1" ref="A2" ca="1">RIGHT(CELL("nomfichier",A3),2)</f>
        <v>08</v>
      </c>
      <c r="B2" s="66" t="str">
        <f t="array" aca="1" ref="B2" ca="1">INDIRECT("IndexQuestions!E" &amp; (A2+3))</f>
        <v>Dans quelle mesure les collaborateurs sont-ils prêts à adopter et utiliser l’IA dans leur activité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0" customHeight="1" x14ac:dyDescent="0.2">
      <c r="A5" s="22">
        <v>0</v>
      </c>
      <c r="B5" s="21" t="s">
        <v>420</v>
      </c>
      <c r="C5" s="19" t="s">
        <v>421</v>
      </c>
      <c r="D5" s="19" t="s">
        <v>422</v>
      </c>
      <c r="E5" s="19" t="s">
        <v>423</v>
      </c>
      <c r="F5" s="19" t="s">
        <v>424</v>
      </c>
      <c r="G5" s="19" t="s">
        <v>714</v>
      </c>
      <c r="H5" s="19" t="s">
        <v>425</v>
      </c>
    </row>
    <row r="6" spans="1:8" ht="80" x14ac:dyDescent="0.2">
      <c r="A6" s="22">
        <v>1</v>
      </c>
      <c r="B6" s="21" t="s">
        <v>426</v>
      </c>
      <c r="C6" s="19" t="s">
        <v>427</v>
      </c>
      <c r="D6" s="19" t="s">
        <v>428</v>
      </c>
      <c r="E6" s="19" t="s">
        <v>429</v>
      </c>
      <c r="F6" s="19" t="s">
        <v>430</v>
      </c>
      <c r="G6" s="19" t="s">
        <v>715</v>
      </c>
      <c r="H6" s="19" t="s">
        <v>431</v>
      </c>
    </row>
    <row r="7" spans="1:8" ht="128" x14ac:dyDescent="0.2">
      <c r="A7" s="22">
        <v>2</v>
      </c>
      <c r="B7" s="21" t="s">
        <v>432</v>
      </c>
      <c r="C7" s="19" t="s">
        <v>433</v>
      </c>
      <c r="D7" s="19" t="s">
        <v>434</v>
      </c>
      <c r="E7" s="19" t="s">
        <v>435</v>
      </c>
      <c r="F7" s="19" t="s">
        <v>436</v>
      </c>
      <c r="G7" s="19" t="s">
        <v>716</v>
      </c>
      <c r="H7" s="19" t="s">
        <v>437</v>
      </c>
    </row>
    <row r="8" spans="1:8" ht="96" customHeight="1" x14ac:dyDescent="0.2">
      <c r="A8" s="22">
        <v>3</v>
      </c>
      <c r="B8" s="21" t="s">
        <v>438</v>
      </c>
      <c r="C8" s="19" t="s">
        <v>439</v>
      </c>
      <c r="D8" s="19" t="s">
        <v>440</v>
      </c>
      <c r="E8" s="19" t="s">
        <v>441</v>
      </c>
      <c r="F8" s="19" t="s">
        <v>442</v>
      </c>
      <c r="G8" s="19" t="s">
        <v>443</v>
      </c>
      <c r="H8" s="19" t="s">
        <v>444</v>
      </c>
    </row>
    <row r="9" spans="1:8" ht="112" customHeight="1" x14ac:dyDescent="0.2">
      <c r="A9" s="22">
        <v>4</v>
      </c>
      <c r="B9" s="21" t="s">
        <v>84</v>
      </c>
      <c r="C9" s="19" t="s">
        <v>445</v>
      </c>
      <c r="D9" s="19" t="s">
        <v>446</v>
      </c>
      <c r="E9" s="19" t="s">
        <v>447</v>
      </c>
      <c r="F9" s="19" t="s">
        <v>448</v>
      </c>
      <c r="G9" s="19" t="s">
        <v>449</v>
      </c>
      <c r="H9" s="19" t="s">
        <v>450</v>
      </c>
    </row>
    <row r="10" spans="1:8" ht="112" customHeight="1" x14ac:dyDescent="0.2">
      <c r="A10" s="22">
        <v>5</v>
      </c>
      <c r="B10" s="21" t="s">
        <v>451</v>
      </c>
      <c r="C10" s="19" t="s">
        <v>452</v>
      </c>
      <c r="D10" s="19" t="s">
        <v>453</v>
      </c>
      <c r="E10" s="19" t="s">
        <v>454</v>
      </c>
      <c r="F10" s="19" t="s">
        <v>455</v>
      </c>
      <c r="G10" s="19" t="s">
        <v>456</v>
      </c>
      <c r="H10" s="19" t="s">
        <v>457</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6"/>
  <dimension ref="A1:H10"/>
  <sheetViews>
    <sheetView showGridLines="0" zoomScale="125" zoomScaleNormal="125" workbookViewId="0">
      <pane ySplit="4" topLeftCell="A7" activePane="bottomLeft" state="frozen"/>
      <selection activeCell="B4" sqref="B4"/>
      <selection pane="bottomLeft" activeCell="B4" sqref="B4"/>
    </sheetView>
  </sheetViews>
  <sheetFormatPr baseColWidth="10" defaultColWidth="8.83203125" defaultRowHeight="15" x14ac:dyDescent="0.2"/>
  <cols>
    <col min="1" max="1" width="8.33203125" style="18" bestFit="1" customWidth="1"/>
    <col min="2" max="2" width="18.6640625" style="18" bestFit="1" customWidth="1"/>
    <col min="3" max="3" width="34.6640625" style="18" customWidth="1"/>
    <col min="4" max="8" width="25.16406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Q09 - CULTURE - Industrialisation - Apprentissage &amp; collaboration</v>
      </c>
      <c r="B1" s="57"/>
      <c r="C1" s="57"/>
      <c r="D1" s="57"/>
      <c r="E1" s="57"/>
      <c r="F1" s="57"/>
      <c r="G1" s="57"/>
      <c r="H1" s="57"/>
    </row>
    <row r="2" spans="1:8" x14ac:dyDescent="0.2">
      <c r="A2" s="24" t="str">
        <f t="array" aca="1" ref="A2" ca="1">RIGHT(CELL("nomfichier",A3),2)</f>
        <v>09</v>
      </c>
      <c r="B2" s="66" t="str">
        <f t="array" aca="1" ref="B2" ca="1">INDIRECT("IndexQuestions!E" &amp; (A2+3))</f>
        <v>Dans quelle mesure l’entreprise favorise-t-elle l’apprentissage, l’expérimentation et le partage autour de l’IA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0" x14ac:dyDescent="0.2">
      <c r="A5" s="22">
        <v>0</v>
      </c>
      <c r="B5" s="21" t="s">
        <v>458</v>
      </c>
      <c r="C5" s="19" t="s">
        <v>459</v>
      </c>
      <c r="D5" s="19" t="s">
        <v>460</v>
      </c>
      <c r="E5" s="19" t="s">
        <v>461</v>
      </c>
      <c r="F5" s="19" t="s">
        <v>462</v>
      </c>
      <c r="G5" s="19" t="s">
        <v>463</v>
      </c>
      <c r="H5" s="19" t="s">
        <v>464</v>
      </c>
    </row>
    <row r="6" spans="1:8" ht="80" customHeight="1" x14ac:dyDescent="0.2">
      <c r="A6" s="22">
        <v>1</v>
      </c>
      <c r="B6" s="21" t="s">
        <v>465</v>
      </c>
      <c r="C6" s="19" t="s">
        <v>466</v>
      </c>
      <c r="D6" s="19" t="s">
        <v>467</v>
      </c>
      <c r="E6" s="19" t="s">
        <v>468</v>
      </c>
      <c r="F6" s="19" t="s">
        <v>469</v>
      </c>
      <c r="G6" s="19" t="s">
        <v>717</v>
      </c>
      <c r="H6" s="19" t="s">
        <v>718</v>
      </c>
    </row>
    <row r="7" spans="1:8" ht="112" customHeight="1" x14ac:dyDescent="0.2">
      <c r="A7" s="22">
        <v>2</v>
      </c>
      <c r="B7" s="21" t="s">
        <v>316</v>
      </c>
      <c r="C7" s="19" t="s">
        <v>470</v>
      </c>
      <c r="D7" s="19" t="s">
        <v>471</v>
      </c>
      <c r="E7" s="19" t="s">
        <v>472</v>
      </c>
      <c r="F7" s="19" t="s">
        <v>473</v>
      </c>
      <c r="G7" s="19" t="s">
        <v>719</v>
      </c>
      <c r="H7" s="19" t="s">
        <v>720</v>
      </c>
    </row>
    <row r="8" spans="1:8" ht="112" customHeight="1" x14ac:dyDescent="0.2">
      <c r="A8" s="22">
        <v>3</v>
      </c>
      <c r="B8" s="21" t="s">
        <v>474</v>
      </c>
      <c r="C8" s="19" t="s">
        <v>475</v>
      </c>
      <c r="D8" s="19" t="s">
        <v>476</v>
      </c>
      <c r="E8" s="19" t="s">
        <v>477</v>
      </c>
      <c r="F8" s="19" t="s">
        <v>478</v>
      </c>
      <c r="G8" s="19" t="s">
        <v>721</v>
      </c>
      <c r="H8" s="19" t="s">
        <v>722</v>
      </c>
    </row>
    <row r="9" spans="1:8" ht="96" customHeight="1" x14ac:dyDescent="0.2">
      <c r="A9" s="22">
        <v>4</v>
      </c>
      <c r="B9" s="21" t="s">
        <v>479</v>
      </c>
      <c r="C9" s="19" t="s">
        <v>480</v>
      </c>
      <c r="D9" s="19" t="s">
        <v>481</v>
      </c>
      <c r="E9" s="19" t="s">
        <v>482</v>
      </c>
      <c r="F9" s="19" t="s">
        <v>483</v>
      </c>
      <c r="G9" s="19" t="s">
        <v>723</v>
      </c>
      <c r="H9" s="19" t="s">
        <v>725</v>
      </c>
    </row>
    <row r="10" spans="1:8" ht="112" customHeight="1" x14ac:dyDescent="0.2">
      <c r="A10" s="22">
        <v>5</v>
      </c>
      <c r="B10" s="21" t="s">
        <v>484</v>
      </c>
      <c r="C10" s="19" t="s">
        <v>485</v>
      </c>
      <c r="D10" s="19" t="s">
        <v>486</v>
      </c>
      <c r="E10" s="19" t="s">
        <v>487</v>
      </c>
      <c r="F10" s="19" t="s">
        <v>488</v>
      </c>
      <c r="G10" s="19" t="s">
        <v>724</v>
      </c>
      <c r="H10" s="19" t="s">
        <v>726</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7"/>
  <dimension ref="A1:H10"/>
  <sheetViews>
    <sheetView showGridLines="0" zoomScale="125" zoomScaleNormal="125" workbookViewId="0">
      <pane ySplit="4" topLeftCell="A7" activePane="bottomLeft" state="frozen"/>
      <selection activeCell="B4" sqref="B4"/>
      <selection pane="bottomLeft" activeCell="B4" sqref="B4"/>
    </sheetView>
  </sheetViews>
  <sheetFormatPr baseColWidth="10" defaultColWidth="8.83203125" defaultRowHeight="15" x14ac:dyDescent="0.2"/>
  <cols>
    <col min="1" max="1" width="8.33203125" style="18" bestFit="1" customWidth="1"/>
    <col min="2" max="2" width="15.6640625" style="18" bestFit="1" customWidth="1"/>
    <col min="3" max="3" width="34.6640625" style="18" customWidth="1"/>
    <col min="4" max="8" width="25.1640625" style="18" customWidth="1"/>
    <col min="9" max="9" width="8.83203125" style="18" customWidth="1"/>
    <col min="10" max="10" width="41.6640625" style="18" customWidth="1"/>
    <col min="11" max="11" width="8.83203125" style="18" customWidth="1"/>
    <col min="12"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Q10 - COMPÉTENCES - Emergence - Capacité interne</v>
      </c>
      <c r="B1" s="57"/>
      <c r="C1" s="57"/>
      <c r="D1" s="57"/>
      <c r="E1" s="57"/>
      <c r="F1" s="57"/>
      <c r="G1" s="57"/>
      <c r="H1" s="57"/>
    </row>
    <row r="2" spans="1:8" x14ac:dyDescent="0.2">
      <c r="A2" s="24" t="str">
        <f t="array" aca="1" ref="A2" ca="1">RIGHT(CELL("nomfichier",A3),2)</f>
        <v>10</v>
      </c>
      <c r="B2" s="66" t="str">
        <f t="array" aca="1" ref="B2" ca="1">INDIRECT("IndexQuestions!E" &amp; (A2+3))</f>
        <v>Dans quelle mesure l’entreprise dispose-t-elle des compétences internes nécessaires pour concevoir, développer, déployer et exploiter des solutions d’IA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96" x14ac:dyDescent="0.2">
      <c r="A5" s="22">
        <v>0</v>
      </c>
      <c r="B5" s="21" t="s">
        <v>489</v>
      </c>
      <c r="C5" s="19" t="s">
        <v>490</v>
      </c>
      <c r="D5" s="19" t="s">
        <v>490</v>
      </c>
      <c r="E5" s="19" t="s">
        <v>491</v>
      </c>
      <c r="F5" s="19" t="s">
        <v>492</v>
      </c>
      <c r="G5" s="19" t="s">
        <v>727</v>
      </c>
      <c r="H5" s="19" t="s">
        <v>493</v>
      </c>
    </row>
    <row r="6" spans="1:8" ht="96" customHeight="1" x14ac:dyDescent="0.2">
      <c r="A6" s="22">
        <v>1</v>
      </c>
      <c r="B6" s="21" t="s">
        <v>494</v>
      </c>
      <c r="C6" s="19" t="s">
        <v>495</v>
      </c>
      <c r="D6" s="19" t="s">
        <v>496</v>
      </c>
      <c r="E6" s="19" t="s">
        <v>497</v>
      </c>
      <c r="F6" s="19" t="s">
        <v>498</v>
      </c>
      <c r="G6" s="19" t="s">
        <v>499</v>
      </c>
      <c r="H6" s="19" t="s">
        <v>500</v>
      </c>
    </row>
    <row r="7" spans="1:8" ht="112" customHeight="1" x14ac:dyDescent="0.2">
      <c r="A7" s="22">
        <v>2</v>
      </c>
      <c r="B7" s="21" t="s">
        <v>501</v>
      </c>
      <c r="C7" s="19" t="s">
        <v>502</v>
      </c>
      <c r="D7" s="19" t="s">
        <v>503</v>
      </c>
      <c r="E7" s="19" t="s">
        <v>504</v>
      </c>
      <c r="F7" s="19" t="s">
        <v>505</v>
      </c>
      <c r="G7" s="19" t="s">
        <v>728</v>
      </c>
      <c r="H7" s="19" t="s">
        <v>506</v>
      </c>
    </row>
    <row r="8" spans="1:8" ht="80" customHeight="1" x14ac:dyDescent="0.2">
      <c r="A8" s="22">
        <v>3</v>
      </c>
      <c r="B8" s="21" t="s">
        <v>507</v>
      </c>
      <c r="C8" s="19" t="s">
        <v>508</v>
      </c>
      <c r="D8" s="19" t="s">
        <v>509</v>
      </c>
      <c r="E8" s="19" t="s">
        <v>510</v>
      </c>
      <c r="F8" s="19" t="s">
        <v>511</v>
      </c>
      <c r="G8" s="19" t="s">
        <v>512</v>
      </c>
      <c r="H8" s="19" t="s">
        <v>513</v>
      </c>
    </row>
    <row r="9" spans="1:8" ht="128" customHeight="1" x14ac:dyDescent="0.2">
      <c r="A9" s="22">
        <v>4</v>
      </c>
      <c r="B9" s="21" t="s">
        <v>514</v>
      </c>
      <c r="C9" s="19" t="s">
        <v>515</v>
      </c>
      <c r="D9" s="19" t="s">
        <v>516</v>
      </c>
      <c r="E9" s="19" t="s">
        <v>517</v>
      </c>
      <c r="F9" s="19" t="s">
        <v>518</v>
      </c>
      <c r="G9" s="19" t="s">
        <v>729</v>
      </c>
      <c r="H9" s="19" t="s">
        <v>519</v>
      </c>
    </row>
    <row r="10" spans="1:8" ht="128" customHeight="1" x14ac:dyDescent="0.2">
      <c r="A10" s="22">
        <v>5</v>
      </c>
      <c r="B10" s="21" t="s">
        <v>520</v>
      </c>
      <c r="C10" s="19" t="s">
        <v>521</v>
      </c>
      <c r="D10" s="19" t="s">
        <v>521</v>
      </c>
      <c r="E10" s="19" t="s">
        <v>522</v>
      </c>
      <c r="F10" s="19" t="s">
        <v>731</v>
      </c>
      <c r="G10" s="19" t="s">
        <v>730</v>
      </c>
      <c r="H10" s="19" t="s">
        <v>523</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8"/>
  <dimension ref="A1:H10"/>
  <sheetViews>
    <sheetView showGridLines="0" topLeftCell="B1" zoomScale="125" zoomScaleNormal="125" workbookViewId="0">
      <pane ySplit="4" topLeftCell="A9" activePane="bottomLeft" state="frozen"/>
      <selection activeCell="B4" sqref="B4"/>
      <selection pane="bottomLeft" activeCell="G9" sqref="G9"/>
    </sheetView>
  </sheetViews>
  <sheetFormatPr baseColWidth="10" defaultColWidth="8.83203125" defaultRowHeight="15" x14ac:dyDescent="0.2"/>
  <cols>
    <col min="1" max="1" width="8.33203125" style="18" bestFit="1" customWidth="1"/>
    <col min="2" max="2" width="20.83203125" style="18" bestFit="1" customWidth="1"/>
    <col min="3" max="3" width="34.6640625" style="18" customWidth="1"/>
    <col min="4" max="8" width="24.16406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Q11 - COMPÉTENCES - Structuration - Développement des compétences</v>
      </c>
      <c r="B1" s="57"/>
      <c r="C1" s="57"/>
      <c r="D1" s="57"/>
      <c r="E1" s="57"/>
      <c r="F1" s="57"/>
      <c r="G1" s="57"/>
      <c r="H1" s="57"/>
    </row>
    <row r="2" spans="1:8" x14ac:dyDescent="0.2">
      <c r="A2" s="24" t="str">
        <f t="array" aca="1" ref="A2" ca="1">RIGHT(CELL("nomfichier",A3),2)</f>
        <v>11</v>
      </c>
      <c r="B2" s="66" t="str">
        <f t="array" aca="1" ref="B2" ca="1">INDIRECT("IndexQuestions!E" &amp; (A2+3))</f>
        <v>Dans quelle mesure l’entreprise développe-t-elle les compétences IA de ses collaborateurs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0" customHeight="1" x14ac:dyDescent="0.2">
      <c r="A5" s="22">
        <v>0</v>
      </c>
      <c r="B5" s="21" t="s">
        <v>524</v>
      </c>
      <c r="C5" s="19" t="s">
        <v>525</v>
      </c>
      <c r="D5" s="19" t="s">
        <v>525</v>
      </c>
      <c r="E5" s="19" t="s">
        <v>526</v>
      </c>
      <c r="F5" s="19" t="s">
        <v>527</v>
      </c>
      <c r="G5" s="19" t="s">
        <v>528</v>
      </c>
      <c r="H5" s="19" t="s">
        <v>529</v>
      </c>
    </row>
    <row r="6" spans="1:8" ht="80" customHeight="1" x14ac:dyDescent="0.2">
      <c r="A6" s="22">
        <v>1</v>
      </c>
      <c r="B6" s="21" t="s">
        <v>385</v>
      </c>
      <c r="C6" s="19" t="s">
        <v>530</v>
      </c>
      <c r="D6" s="19" t="s">
        <v>531</v>
      </c>
      <c r="E6" s="19" t="s">
        <v>532</v>
      </c>
      <c r="F6" s="19" t="s">
        <v>533</v>
      </c>
      <c r="G6" s="19" t="s">
        <v>732</v>
      </c>
      <c r="H6" s="19" t="s">
        <v>733</v>
      </c>
    </row>
    <row r="7" spans="1:8" ht="64" customHeight="1" x14ac:dyDescent="0.2">
      <c r="A7" s="22">
        <v>2</v>
      </c>
      <c r="B7" s="21" t="s">
        <v>534</v>
      </c>
      <c r="C7" s="19" t="s">
        <v>535</v>
      </c>
      <c r="D7" s="19" t="s">
        <v>536</v>
      </c>
      <c r="E7" s="19" t="s">
        <v>537</v>
      </c>
      <c r="F7" s="19" t="s">
        <v>538</v>
      </c>
      <c r="G7" s="19" t="s">
        <v>734</v>
      </c>
      <c r="H7" s="19" t="s">
        <v>735</v>
      </c>
    </row>
    <row r="8" spans="1:8" ht="96" customHeight="1" x14ac:dyDescent="0.2">
      <c r="A8" s="22">
        <v>3</v>
      </c>
      <c r="B8" s="21" t="s">
        <v>539</v>
      </c>
      <c r="C8" s="19" t="s">
        <v>540</v>
      </c>
      <c r="D8" s="19" t="s">
        <v>541</v>
      </c>
      <c r="E8" s="19" t="s">
        <v>542</v>
      </c>
      <c r="F8" s="19" t="s">
        <v>543</v>
      </c>
      <c r="G8" s="19" t="s">
        <v>808</v>
      </c>
      <c r="H8" s="19" t="s">
        <v>736</v>
      </c>
    </row>
    <row r="9" spans="1:8" ht="128" customHeight="1" x14ac:dyDescent="0.2">
      <c r="A9" s="22">
        <v>4</v>
      </c>
      <c r="B9" s="21" t="s">
        <v>544</v>
      </c>
      <c r="C9" s="19" t="s">
        <v>545</v>
      </c>
      <c r="D9" s="19" t="s">
        <v>546</v>
      </c>
      <c r="E9" s="19" t="s">
        <v>547</v>
      </c>
      <c r="F9" s="19" t="s">
        <v>548</v>
      </c>
      <c r="G9" s="19" t="s">
        <v>737</v>
      </c>
      <c r="H9" s="19" t="s">
        <v>738</v>
      </c>
    </row>
    <row r="10" spans="1:8" ht="128" customHeight="1" x14ac:dyDescent="0.2">
      <c r="A10" s="22">
        <v>5</v>
      </c>
      <c r="B10" s="21" t="s">
        <v>549</v>
      </c>
      <c r="C10" s="19" t="s">
        <v>550</v>
      </c>
      <c r="D10" s="19" t="s">
        <v>551</v>
      </c>
      <c r="E10" s="19" t="s">
        <v>754</v>
      </c>
      <c r="F10" s="19" t="s">
        <v>552</v>
      </c>
      <c r="G10" s="19" t="s">
        <v>553</v>
      </c>
      <c r="H10" s="19" t="s">
        <v>554</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dimension ref="A1:H10"/>
  <sheetViews>
    <sheetView showGridLines="0" topLeftCell="B1" zoomScale="125" zoomScaleNormal="125" workbookViewId="0">
      <pane ySplit="4" topLeftCell="A11" activePane="bottomLeft" state="frozen"/>
      <selection activeCell="B4" sqref="B4"/>
      <selection pane="bottomLeft" activeCell="B11" sqref="B11"/>
    </sheetView>
  </sheetViews>
  <sheetFormatPr baseColWidth="10" defaultColWidth="8.83203125" defaultRowHeight="15" x14ac:dyDescent="0.2"/>
  <cols>
    <col min="1" max="1" width="8.33203125" style="18" bestFit="1" customWidth="1"/>
    <col min="2" max="2" width="23.33203125" style="18" bestFit="1" customWidth="1"/>
    <col min="3" max="3" width="34.6640625" style="18" customWidth="1"/>
    <col min="4" max="8" width="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Q12 - COMPÉTENCES - Industrialisation - Adaptabilité / capacité à combler les lacunes</v>
      </c>
      <c r="B1" s="57"/>
      <c r="C1" s="57"/>
      <c r="D1" s="57"/>
      <c r="E1" s="57"/>
      <c r="F1" s="57"/>
      <c r="G1" s="57"/>
      <c r="H1" s="57"/>
    </row>
    <row r="2" spans="1:8" x14ac:dyDescent="0.2">
      <c r="A2" s="24" t="str">
        <f t="array" aca="1" ref="A2" ca="1">RIGHT(CELL("nomfichier",A3),2)</f>
        <v>12</v>
      </c>
      <c r="B2" s="66" t="str">
        <f t="array" aca="1" ref="B2" ca="1">INDIRECT("IndexQuestions!E" &amp; (A2+3))</f>
        <v>Dans quelle mesure l’entreprise sait-elle identifier et combler ses lacunes en compétences IA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0" customHeight="1" x14ac:dyDescent="0.2">
      <c r="A5" s="22">
        <v>0</v>
      </c>
      <c r="B5" s="21" t="s">
        <v>555</v>
      </c>
      <c r="C5" s="19" t="s">
        <v>556</v>
      </c>
      <c r="D5" s="19" t="s">
        <v>557</v>
      </c>
      <c r="E5" s="19" t="s">
        <v>558</v>
      </c>
      <c r="F5" s="19" t="s">
        <v>739</v>
      </c>
      <c r="G5" s="19" t="s">
        <v>559</v>
      </c>
      <c r="H5" s="19" t="s">
        <v>560</v>
      </c>
    </row>
    <row r="6" spans="1:8" ht="112" customHeight="1" x14ac:dyDescent="0.2">
      <c r="A6" s="22">
        <v>1</v>
      </c>
      <c r="B6" s="21" t="s">
        <v>561</v>
      </c>
      <c r="C6" s="19" t="s">
        <v>562</v>
      </c>
      <c r="D6" s="19" t="s">
        <v>563</v>
      </c>
      <c r="E6" s="19" t="s">
        <v>564</v>
      </c>
      <c r="F6" s="19" t="s">
        <v>565</v>
      </c>
      <c r="G6" s="19" t="s">
        <v>566</v>
      </c>
      <c r="H6" s="19" t="s">
        <v>567</v>
      </c>
    </row>
    <row r="7" spans="1:8" ht="112" customHeight="1" x14ac:dyDescent="0.2">
      <c r="A7" s="22">
        <v>2</v>
      </c>
      <c r="B7" s="21" t="s">
        <v>568</v>
      </c>
      <c r="C7" s="19" t="s">
        <v>569</v>
      </c>
      <c r="D7" s="19" t="s">
        <v>569</v>
      </c>
      <c r="E7" s="19" t="s">
        <v>570</v>
      </c>
      <c r="F7" s="19" t="s">
        <v>571</v>
      </c>
      <c r="G7" s="19" t="s">
        <v>572</v>
      </c>
      <c r="H7" s="19" t="s">
        <v>573</v>
      </c>
    </row>
    <row r="8" spans="1:8" ht="132" customHeight="1" x14ac:dyDescent="0.2">
      <c r="A8" s="22">
        <v>3</v>
      </c>
      <c r="B8" s="21" t="s">
        <v>574</v>
      </c>
      <c r="C8" s="19" t="s">
        <v>575</v>
      </c>
      <c r="D8" s="19" t="s">
        <v>576</v>
      </c>
      <c r="E8" s="19" t="s">
        <v>577</v>
      </c>
      <c r="F8" s="19" t="s">
        <v>740</v>
      </c>
      <c r="G8" s="19" t="s">
        <v>741</v>
      </c>
      <c r="H8" s="19" t="s">
        <v>742</v>
      </c>
    </row>
    <row r="9" spans="1:8" ht="128" customHeight="1" x14ac:dyDescent="0.2">
      <c r="A9" s="22">
        <v>4</v>
      </c>
      <c r="B9" s="21" t="s">
        <v>578</v>
      </c>
      <c r="C9" s="19" t="s">
        <v>579</v>
      </c>
      <c r="D9" s="19" t="s">
        <v>580</v>
      </c>
      <c r="E9" s="19" t="s">
        <v>581</v>
      </c>
      <c r="F9" s="19" t="s">
        <v>582</v>
      </c>
      <c r="G9" s="19" t="s">
        <v>583</v>
      </c>
      <c r="H9" s="19" t="s">
        <v>584</v>
      </c>
    </row>
    <row r="10" spans="1:8" ht="176" customHeight="1" x14ac:dyDescent="0.2">
      <c r="A10" s="22">
        <v>5</v>
      </c>
      <c r="B10" s="21" t="s">
        <v>585</v>
      </c>
      <c r="C10" s="19" t="s">
        <v>586</v>
      </c>
      <c r="D10" s="19" t="s">
        <v>587</v>
      </c>
      <c r="E10" s="19" t="s">
        <v>588</v>
      </c>
      <c r="F10" s="19" t="s">
        <v>589</v>
      </c>
      <c r="G10" s="19" t="s">
        <v>743</v>
      </c>
      <c r="H10" s="19" t="s">
        <v>590</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dimension ref="A1:H10"/>
  <sheetViews>
    <sheetView showGridLines="0" topLeftCell="C1" zoomScale="125" zoomScaleNormal="125" workbookViewId="0">
      <pane ySplit="4" topLeftCell="A10" activePane="bottomLeft" state="frozen"/>
      <selection activeCell="B4" sqref="B4"/>
      <selection pane="bottomLeft" activeCell="C10" sqref="C10"/>
    </sheetView>
  </sheetViews>
  <sheetFormatPr baseColWidth="10" defaultColWidth="8.83203125" defaultRowHeight="15" x14ac:dyDescent="0.2"/>
  <cols>
    <col min="1" max="1" width="8.33203125" style="18" bestFit="1" customWidth="1"/>
    <col min="2" max="2" width="19.83203125" style="18" bestFit="1" customWidth="1"/>
    <col min="3" max="3" width="34.6640625" style="18" customWidth="1"/>
    <col min="4" max="8" width="24.16406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Q13 - GOUVERNANCE - Emergence - Cadre et responsabilités</v>
      </c>
      <c r="B1" s="57"/>
      <c r="C1" s="57"/>
      <c r="D1" s="57"/>
      <c r="E1" s="57"/>
      <c r="F1" s="57"/>
      <c r="G1" s="57"/>
      <c r="H1" s="57"/>
    </row>
    <row r="2" spans="1:8" x14ac:dyDescent="0.2">
      <c r="A2" s="24" t="str">
        <f t="array" aca="1" ref="A2" ca="1">RIGHT(CELL("nomfichier",A3),2)</f>
        <v>13</v>
      </c>
      <c r="B2" s="66" t="str">
        <f t="array" aca="1" ref="B2" ca="1">INDIRECT("IndexQuestions!E" &amp; (A2+3))</f>
        <v>Dans quelle mesure l’entreprise dispose-t-elle d’un cadre de gouvernance pour encadrer l’utilisation de l’IA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101" customHeight="1" x14ac:dyDescent="0.2">
      <c r="A5" s="22">
        <v>0</v>
      </c>
      <c r="B5" s="21" t="s">
        <v>591</v>
      </c>
      <c r="C5" s="19" t="s">
        <v>592</v>
      </c>
      <c r="D5" s="19" t="s">
        <v>593</v>
      </c>
      <c r="E5" s="19" t="s">
        <v>594</v>
      </c>
      <c r="F5" s="19" t="s">
        <v>744</v>
      </c>
      <c r="G5" s="19" t="s">
        <v>745</v>
      </c>
      <c r="H5" s="19" t="s">
        <v>595</v>
      </c>
    </row>
    <row r="6" spans="1:8" ht="77" customHeight="1" x14ac:dyDescent="0.2">
      <c r="A6" s="22">
        <v>1</v>
      </c>
      <c r="B6" s="21" t="s">
        <v>596</v>
      </c>
      <c r="C6" s="19" t="s">
        <v>597</v>
      </c>
      <c r="D6" s="19" t="s">
        <v>809</v>
      </c>
      <c r="E6" s="19" t="s">
        <v>598</v>
      </c>
      <c r="F6" s="19" t="s">
        <v>599</v>
      </c>
      <c r="G6" s="19" t="s">
        <v>600</v>
      </c>
      <c r="H6" s="19" t="s">
        <v>601</v>
      </c>
    </row>
    <row r="7" spans="1:8" ht="112" customHeight="1" x14ac:dyDescent="0.2">
      <c r="A7" s="22">
        <v>2</v>
      </c>
      <c r="B7" s="21" t="s">
        <v>602</v>
      </c>
      <c r="C7" s="19" t="s">
        <v>603</v>
      </c>
      <c r="D7" s="19" t="s">
        <v>604</v>
      </c>
      <c r="E7" s="19" t="s">
        <v>605</v>
      </c>
      <c r="F7" s="19" t="s">
        <v>606</v>
      </c>
      <c r="G7" s="19" t="s">
        <v>746</v>
      </c>
      <c r="H7" s="19" t="s">
        <v>747</v>
      </c>
    </row>
    <row r="8" spans="1:8" ht="112" customHeight="1" x14ac:dyDescent="0.2">
      <c r="A8" s="22">
        <v>3</v>
      </c>
      <c r="B8" s="21" t="s">
        <v>607</v>
      </c>
      <c r="C8" s="19" t="s">
        <v>608</v>
      </c>
      <c r="D8" s="19" t="s">
        <v>609</v>
      </c>
      <c r="E8" s="19" t="s">
        <v>610</v>
      </c>
      <c r="F8" s="19" t="s">
        <v>748</v>
      </c>
      <c r="G8" s="19" t="s">
        <v>749</v>
      </c>
      <c r="H8" s="19" t="s">
        <v>750</v>
      </c>
    </row>
    <row r="9" spans="1:8" ht="112" customHeight="1" x14ac:dyDescent="0.2">
      <c r="A9" s="22">
        <v>4</v>
      </c>
      <c r="B9" s="21" t="s">
        <v>611</v>
      </c>
      <c r="C9" s="19" t="s">
        <v>612</v>
      </c>
      <c r="D9" s="19" t="s">
        <v>613</v>
      </c>
      <c r="E9" s="19" t="s">
        <v>751</v>
      </c>
      <c r="F9" s="19" t="s">
        <v>614</v>
      </c>
      <c r="G9" s="19" t="s">
        <v>752</v>
      </c>
      <c r="H9" s="19" t="s">
        <v>753</v>
      </c>
    </row>
    <row r="10" spans="1:8" ht="144" customHeight="1" x14ac:dyDescent="0.2">
      <c r="A10" s="22">
        <v>5</v>
      </c>
      <c r="B10" s="21" t="s">
        <v>615</v>
      </c>
      <c r="C10" s="19" t="s">
        <v>616</v>
      </c>
      <c r="D10" s="19" t="s">
        <v>616</v>
      </c>
      <c r="E10" s="19" t="s">
        <v>755</v>
      </c>
      <c r="F10" s="19" t="s">
        <v>756</v>
      </c>
      <c r="G10" s="19" t="s">
        <v>757</v>
      </c>
      <c r="H10" s="19" t="s">
        <v>810</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A1:H10"/>
  <sheetViews>
    <sheetView showGridLines="0" zoomScale="125" zoomScaleNormal="125" workbookViewId="0">
      <pane ySplit="4" topLeftCell="A7" activePane="bottomLeft" state="frozen"/>
      <selection activeCell="B4" sqref="B4"/>
      <selection pane="bottomLeft" activeCell="B4" sqref="B4"/>
    </sheetView>
  </sheetViews>
  <sheetFormatPr baseColWidth="10" defaultColWidth="8.83203125" defaultRowHeight="15" x14ac:dyDescent="0.2"/>
  <cols>
    <col min="1" max="1" width="8.33203125" style="18" bestFit="1" customWidth="1"/>
    <col min="2" max="2" width="25.6640625" style="18" bestFit="1" customWidth="1"/>
    <col min="3" max="3" width="34.6640625" style="18" customWidth="1"/>
    <col min="4" max="8" width="24.16406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Q14 - GOUVERNANCE - Structuration - Évaluation &amp; validation</v>
      </c>
      <c r="B1" s="57"/>
      <c r="C1" s="57"/>
      <c r="D1" s="57"/>
      <c r="E1" s="57"/>
      <c r="F1" s="57"/>
      <c r="G1" s="57"/>
      <c r="H1" s="57"/>
    </row>
    <row r="2" spans="1:8" x14ac:dyDescent="0.2">
      <c r="A2" s="24" t="str">
        <f t="array" aca="1" ref="A2" ca="1">RIGHT(CELL("nomfichier",A3),2)</f>
        <v>14</v>
      </c>
      <c r="B2" s="66" t="str">
        <f t="array" aca="1" ref="B2" ca="1">INDIRECT("IndexQuestions!E" &amp; (A2+3))</f>
        <v>Dans quelle mesure les projets et usages d’IA font-ils l’objet d’une évaluation et d’une validation avant leur mise en production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82" customHeight="1" x14ac:dyDescent="0.2">
      <c r="A5" s="22">
        <v>0</v>
      </c>
      <c r="B5" s="21" t="s">
        <v>617</v>
      </c>
      <c r="C5" s="19" t="s">
        <v>618</v>
      </c>
      <c r="D5" s="19" t="s">
        <v>619</v>
      </c>
      <c r="E5" s="19" t="s">
        <v>620</v>
      </c>
      <c r="F5" s="19" t="s">
        <v>621</v>
      </c>
      <c r="G5" s="19" t="s">
        <v>622</v>
      </c>
      <c r="H5" s="19" t="s">
        <v>623</v>
      </c>
    </row>
    <row r="6" spans="1:8" ht="80" customHeight="1" x14ac:dyDescent="0.2">
      <c r="A6" s="22">
        <v>1</v>
      </c>
      <c r="B6" s="21" t="s">
        <v>624</v>
      </c>
      <c r="C6" s="19" t="s">
        <v>625</v>
      </c>
      <c r="D6" s="19" t="s">
        <v>626</v>
      </c>
      <c r="E6" s="19" t="s">
        <v>627</v>
      </c>
      <c r="F6" s="19" t="s">
        <v>628</v>
      </c>
      <c r="G6" s="19" t="s">
        <v>629</v>
      </c>
      <c r="H6" s="19" t="s">
        <v>630</v>
      </c>
    </row>
    <row r="7" spans="1:8" ht="80" customHeight="1" x14ac:dyDescent="0.2">
      <c r="A7" s="22">
        <v>2</v>
      </c>
      <c r="B7" s="21" t="s">
        <v>631</v>
      </c>
      <c r="C7" s="19" t="s">
        <v>632</v>
      </c>
      <c r="D7" s="19" t="s">
        <v>633</v>
      </c>
      <c r="E7" s="19" t="s">
        <v>758</v>
      </c>
      <c r="F7" s="19" t="s">
        <v>634</v>
      </c>
      <c r="G7" s="19" t="s">
        <v>759</v>
      </c>
      <c r="H7" s="19" t="s">
        <v>760</v>
      </c>
    </row>
    <row r="8" spans="1:8" ht="128" customHeight="1" x14ac:dyDescent="0.2">
      <c r="A8" s="22">
        <v>3</v>
      </c>
      <c r="B8" s="21" t="s">
        <v>635</v>
      </c>
      <c r="C8" s="19" t="s">
        <v>636</v>
      </c>
      <c r="D8" s="19" t="s">
        <v>637</v>
      </c>
      <c r="E8" s="19" t="s">
        <v>638</v>
      </c>
      <c r="F8" s="19" t="s">
        <v>639</v>
      </c>
      <c r="G8" s="19" t="s">
        <v>761</v>
      </c>
      <c r="H8" s="19" t="s">
        <v>762</v>
      </c>
    </row>
    <row r="9" spans="1:8" ht="112" customHeight="1" x14ac:dyDescent="0.2">
      <c r="A9" s="22">
        <v>4</v>
      </c>
      <c r="B9" s="21" t="s">
        <v>640</v>
      </c>
      <c r="C9" s="19" t="s">
        <v>641</v>
      </c>
      <c r="D9" s="19" t="s">
        <v>642</v>
      </c>
      <c r="E9" s="19" t="s">
        <v>643</v>
      </c>
      <c r="F9" s="19" t="s">
        <v>644</v>
      </c>
      <c r="G9" s="19" t="s">
        <v>763</v>
      </c>
      <c r="H9" s="19" t="s">
        <v>764</v>
      </c>
    </row>
    <row r="10" spans="1:8" ht="160" customHeight="1" x14ac:dyDescent="0.2">
      <c r="A10" s="22">
        <v>5</v>
      </c>
      <c r="B10" s="21" t="s">
        <v>645</v>
      </c>
      <c r="C10" s="19" t="s">
        <v>646</v>
      </c>
      <c r="D10" s="19" t="s">
        <v>647</v>
      </c>
      <c r="E10" s="19" t="s">
        <v>765</v>
      </c>
      <c r="F10" s="19" t="s">
        <v>648</v>
      </c>
      <c r="G10" s="19" t="s">
        <v>649</v>
      </c>
      <c r="H10" s="19" t="s">
        <v>766</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A1:H10"/>
  <sheetViews>
    <sheetView showGridLines="0" zoomScale="125" zoomScaleNormal="125" workbookViewId="0">
      <pane ySplit="4" topLeftCell="A5" activePane="bottomLeft" state="frozen"/>
      <selection activeCell="B4" sqref="B4"/>
      <selection pane="bottomLeft" activeCell="B4" sqref="B4"/>
    </sheetView>
  </sheetViews>
  <sheetFormatPr baseColWidth="10" defaultColWidth="8.83203125" defaultRowHeight="15" x14ac:dyDescent="0.2"/>
  <cols>
    <col min="1" max="1" width="8.33203125" style="18" bestFit="1" customWidth="1"/>
    <col min="2" max="2" width="23.5" style="18" bestFit="1" customWidth="1"/>
    <col min="3" max="3" width="34.6640625" style="18" customWidth="1"/>
    <col min="4" max="8" width="25.1640625" style="18" customWidth="1"/>
    <col min="9" max="9" width="8.83203125" style="18" customWidth="1"/>
    <col min="10" max="16384" width="8.83203125" style="18"/>
  </cols>
  <sheetData>
    <row r="1" spans="1:8" ht="21" customHeight="1" x14ac:dyDescent="0.25">
      <c r="A1" s="67" t="str">
        <f t="array" aca="1" ref="A1" ca="1">INDIRECT("IndexQuestions!A" &amp; (A2+3)) &amp; " - " &amp; INDIRECT("IndexQuestions!B" &amp; (A2+3)) &amp; " - " &amp; INDIRECT("IndexQuestions!C" &amp; (A2+3)) &amp; " - " &amp; INDIRECT("IndexQuestions!D" &amp; (A2+3))</f>
        <v>Q15 - GOUVERNANCE - Industrialisation - Surveillance &amp; cycle de vie</v>
      </c>
      <c r="B1" s="57"/>
      <c r="C1" s="57"/>
      <c r="D1" s="57"/>
      <c r="E1" s="57"/>
      <c r="F1" s="57"/>
      <c r="G1" s="57"/>
      <c r="H1" s="57"/>
    </row>
    <row r="2" spans="1:8" x14ac:dyDescent="0.2">
      <c r="A2" s="24" t="str">
        <f t="array" aca="1" ref="A2" ca="1">RIGHT(CELL("nomfichier",A3),2)</f>
        <v>15</v>
      </c>
      <c r="B2" s="66" t="str">
        <f t="array" aca="1" ref="B2" ca="1">INDIRECT("IndexQuestions!E" &amp; (A2+3))</f>
        <v>Dans quelle mesure les solutions IA déployées sont-elles surveillées et réévaluées pendant leur cycle de vie ?</v>
      </c>
      <c r="C2" s="64"/>
      <c r="D2" s="64"/>
      <c r="E2" s="64"/>
      <c r="F2" s="64"/>
      <c r="G2" s="64"/>
      <c r="H2" s="65"/>
    </row>
    <row r="3" spans="1:8" x14ac:dyDescent="0.2">
      <c r="A3" s="24" t="s">
        <v>0</v>
      </c>
      <c r="B3" s="63" t="str">
        <f>'Q01'!B3</f>
        <v>À chaque score : acquis → blocage vers le niveau suivant → capacité à acquérir → actions prioritaires → résultat attendu.</v>
      </c>
      <c r="C3" s="64"/>
      <c r="D3" s="64"/>
      <c r="E3" s="64"/>
      <c r="F3" s="64"/>
      <c r="G3" s="64"/>
      <c r="H3" s="65"/>
    </row>
    <row r="4" spans="1:8" ht="32" customHeight="1" x14ac:dyDescent="0.2">
      <c r="A4" s="23" t="s">
        <v>1</v>
      </c>
      <c r="B4" s="23" t="s">
        <v>2</v>
      </c>
      <c r="C4" s="23" t="s">
        <v>3</v>
      </c>
      <c r="D4" s="23" t="s">
        <v>4</v>
      </c>
      <c r="E4" s="23" t="s">
        <v>5</v>
      </c>
      <c r="F4" s="23" t="s">
        <v>6</v>
      </c>
      <c r="G4" s="23" t="s">
        <v>7</v>
      </c>
      <c r="H4" s="23" t="s">
        <v>8</v>
      </c>
    </row>
    <row r="5" spans="1:8" ht="96" customHeight="1" x14ac:dyDescent="0.2">
      <c r="A5" s="22">
        <v>0</v>
      </c>
      <c r="B5" s="21" t="s">
        <v>650</v>
      </c>
      <c r="C5" s="19" t="s">
        <v>651</v>
      </c>
      <c r="D5" s="19" t="s">
        <v>652</v>
      </c>
      <c r="E5" s="19" t="s">
        <v>653</v>
      </c>
      <c r="F5" s="19" t="s">
        <v>654</v>
      </c>
      <c r="G5" s="19" t="s">
        <v>767</v>
      </c>
      <c r="H5" s="19" t="s">
        <v>655</v>
      </c>
    </row>
    <row r="6" spans="1:8" ht="96" customHeight="1" x14ac:dyDescent="0.2">
      <c r="A6" s="22">
        <v>1</v>
      </c>
      <c r="B6" s="21" t="s">
        <v>656</v>
      </c>
      <c r="C6" s="19" t="s">
        <v>657</v>
      </c>
      <c r="D6" s="19" t="s">
        <v>658</v>
      </c>
      <c r="E6" s="19" t="s">
        <v>659</v>
      </c>
      <c r="F6" s="19" t="s">
        <v>660</v>
      </c>
      <c r="G6" s="19" t="s">
        <v>768</v>
      </c>
      <c r="H6" s="19" t="s">
        <v>769</v>
      </c>
    </row>
    <row r="7" spans="1:8" ht="80" customHeight="1" x14ac:dyDescent="0.2">
      <c r="A7" s="22">
        <v>2</v>
      </c>
      <c r="B7" s="21" t="s">
        <v>661</v>
      </c>
      <c r="C7" s="19" t="s">
        <v>662</v>
      </c>
      <c r="D7" s="19" t="s">
        <v>663</v>
      </c>
      <c r="E7" s="19" t="s">
        <v>664</v>
      </c>
      <c r="F7" s="19" t="s">
        <v>665</v>
      </c>
      <c r="G7" s="19" t="s">
        <v>770</v>
      </c>
      <c r="H7" s="19" t="s">
        <v>771</v>
      </c>
    </row>
    <row r="8" spans="1:8" ht="176" customHeight="1" x14ac:dyDescent="0.2">
      <c r="A8" s="22">
        <v>3</v>
      </c>
      <c r="B8" s="21" t="s">
        <v>666</v>
      </c>
      <c r="C8" s="19" t="s">
        <v>667</v>
      </c>
      <c r="D8" s="19" t="s">
        <v>668</v>
      </c>
      <c r="E8" s="19" t="s">
        <v>669</v>
      </c>
      <c r="F8" s="19" t="s">
        <v>772</v>
      </c>
      <c r="G8" s="19" t="s">
        <v>670</v>
      </c>
      <c r="H8" s="19" t="s">
        <v>671</v>
      </c>
    </row>
    <row r="9" spans="1:8" ht="112" customHeight="1" x14ac:dyDescent="0.2">
      <c r="A9" s="22">
        <v>4</v>
      </c>
      <c r="B9" s="21" t="s">
        <v>672</v>
      </c>
      <c r="C9" s="19" t="s">
        <v>673</v>
      </c>
      <c r="D9" s="19" t="s">
        <v>674</v>
      </c>
      <c r="E9" s="19" t="s">
        <v>675</v>
      </c>
      <c r="F9" s="19" t="s">
        <v>676</v>
      </c>
      <c r="G9" s="19" t="s">
        <v>677</v>
      </c>
      <c r="H9" s="19" t="s">
        <v>678</v>
      </c>
    </row>
    <row r="10" spans="1:8" ht="160" customHeight="1" x14ac:dyDescent="0.2">
      <c r="A10" s="22">
        <v>5</v>
      </c>
      <c r="B10" s="21" t="s">
        <v>679</v>
      </c>
      <c r="C10" s="19" t="s">
        <v>680</v>
      </c>
      <c r="D10" s="19" t="s">
        <v>681</v>
      </c>
      <c r="E10" s="19" t="s">
        <v>682</v>
      </c>
      <c r="F10" s="19" t="s">
        <v>774</v>
      </c>
      <c r="G10" s="19" t="s">
        <v>773</v>
      </c>
      <c r="H10" s="19" t="s">
        <v>775</v>
      </c>
    </row>
  </sheetData>
  <mergeCells count="3">
    <mergeCell ref="B3:H3"/>
    <mergeCell ref="B2:H2"/>
    <mergeCell ref="A1:H1"/>
  </mergeCells>
  <conditionalFormatting sqref="A5:A10">
    <cfRule type="colorScale" priority="1">
      <colorScale>
        <cfvo type="num" val="0"/>
        <cfvo type="num" val="3"/>
        <cfvo type="num" val="5"/>
        <color rgb="FFF8696B"/>
        <color rgb="FFFFEB84"/>
        <color rgb="FF63BE7B"/>
      </colorScale>
    </cfRule>
  </conditionalFormatting>
  <pageMargins left="0.75" right="0.75" top="1" bottom="1" header="0.5" footer="0.5"/>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22</vt:i4>
      </vt:variant>
    </vt:vector>
  </HeadingPairs>
  <TitlesOfParts>
    <vt:vector size="22" baseType="lpstr">
      <vt:lpstr>NiveauMaturité</vt:lpstr>
      <vt:lpstr>IndexQuestions</vt:lpstr>
      <vt:lpstr>Questions</vt:lpstr>
      <vt:lpstr>Réponses</vt:lpstr>
      <vt:lpstr>CalculAxes</vt:lpstr>
      <vt:lpstr>TMatrice</vt:lpstr>
      <vt:lpstr>MatriceEntreprise</vt:lpstr>
      <vt:lpstr>Q01</vt:lpstr>
      <vt:lpstr>Q02</vt:lpstr>
      <vt:lpstr>Q03</vt:lpstr>
      <vt:lpstr>Q04</vt:lpstr>
      <vt:lpstr>Q05</vt:lpstr>
      <vt:lpstr>Q06</vt:lpstr>
      <vt:lpstr>Q07</vt:lpstr>
      <vt:lpstr>Q08</vt:lpstr>
      <vt:lpstr>Q09</vt:lpstr>
      <vt:lpstr>Q10</vt:lpstr>
      <vt:lpstr>Q11</vt:lpstr>
      <vt:lpstr>Q12</vt:lpstr>
      <vt:lpstr>Q13</vt:lpstr>
      <vt:lpstr>Q14</vt:lpstr>
      <vt:lpstr>Q15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Hubert [AFNeT Services]</dc:creator>
  <cp:lastModifiedBy>Pascal Hubert [AFNeT Services]</cp:lastModifiedBy>
  <dcterms:created xsi:type="dcterms:W3CDTF">2026-09-16T15:26:19Z</dcterms:created>
  <dcterms:modified xsi:type="dcterms:W3CDTF">2026-10-06T08:21:17Z</dcterms:modified>
</cp:coreProperties>
</file>